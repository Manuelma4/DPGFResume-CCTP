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24226"/>
  <mc:AlternateContent xmlns:mc="http://schemas.openxmlformats.org/markup-compatibility/2006">
    <mc:Choice Requires="x15">
      <x15ac:absPath xmlns:x15ac="http://schemas.microsoft.com/office/spreadsheetml/2010/11/ac" url="Z:\ME\B_PROJETS\25_189_BONDUELLE_VDA_BAT GAY LUSSAC\12_RENDUS\2026.07.29 - PRO\1.Pièces écrites\DPGF\"/>
    </mc:Choice>
  </mc:AlternateContent>
  <xr:revisionPtr revIDLastSave="0" documentId="13_ncr:1_{8FBAA618-BCB0-45C4-B2DA-727AC7B9F28B}" xr6:coauthVersionLast="47" xr6:coauthVersionMax="47" xr10:uidLastSave="{00000000-0000-0000-0000-000000000000}"/>
  <bookViews>
    <workbookView xWindow="-120" yWindow="-120" windowWidth="29040" windowHeight="15720" tabRatio="951" xr2:uid="{00000000-000D-0000-FFFF-FFFF00000000}"/>
  </bookViews>
  <sheets>
    <sheet name="LOT 01 VRD" sheetId="1" r:id="rId1"/>
  </sheets>
  <externalReferences>
    <externalReference r:id="rId2"/>
  </externalReferences>
  <definedNames>
    <definedName name="_Toc132125943" localSheetId="0">'[1]LOT A01'!#REF!</definedName>
    <definedName name="_Toc210101892" localSheetId="0">'[1]LOT A01'!#REF!</definedName>
    <definedName name="_Toc210101894" localSheetId="0">'[1]LOT A01'!#REF!</definedName>
    <definedName name="_Toc277768144" localSheetId="0">'[1]LOT A01'!#REF!</definedName>
    <definedName name="_Toc277768145" localSheetId="0">'[1]LOT A01'!#REF!</definedName>
    <definedName name="_Toc277768146" localSheetId="0">'[1]LOT A01'!#REF!</definedName>
    <definedName name="_Toc277768147" localSheetId="0">'[1]LOT A01'!#REF!</definedName>
    <definedName name="_Toc277768148" localSheetId="0">'[1]LOT A01'!#REF!</definedName>
    <definedName name="_Toc277768149" localSheetId="0">'[1]LOT A01'!#REF!</definedName>
    <definedName name="_Toc277768151" localSheetId="0">'[1]LOT A01'!#REF!</definedName>
    <definedName name="_Toc479498543" localSheetId="0">'[1]LOT A01'!#REF!</definedName>
    <definedName name="_Toc479498544" localSheetId="0">'[1]LOT A01'!#REF!</definedName>
    <definedName name="_Toc490455307" localSheetId="0">'[1]LOT A01'!#REF!</definedName>
    <definedName name="_xlnm.Print_Titles" localSheetId="0">'LOT 01 VRD'!$1:$9</definedName>
    <definedName name="_xlnm.Print_Area" localSheetId="0">'LOT 01 VRD'!$B$1:$G$84</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7" i="1" l="1"/>
  <c r="G14" i="1"/>
  <c r="G41" i="1"/>
  <c r="G35" i="1"/>
  <c r="G45" i="1"/>
  <c r="G62" i="1"/>
  <c r="G58" i="1"/>
  <c r="G56" i="1"/>
  <c r="G57" i="1"/>
  <c r="G31" i="1"/>
  <c r="G74" i="1"/>
  <c r="G73" i="1"/>
  <c r="G71" i="1"/>
  <c r="G68" i="1"/>
  <c r="G67" i="1"/>
  <c r="G64" i="1"/>
  <c r="G63" i="1"/>
  <c r="G55" i="1"/>
  <c r="G54" i="1"/>
  <c r="G51" i="1"/>
  <c r="G50" i="1"/>
  <c r="G49" i="1"/>
  <c r="G46" i="1"/>
  <c r="G40" i="1"/>
  <c r="G39" i="1"/>
  <c r="G36" i="1"/>
  <c r="G33" i="1"/>
  <c r="G28" i="1"/>
  <c r="G27" i="1"/>
  <c r="G26" i="1"/>
  <c r="G22" i="1"/>
  <c r="G21" i="1"/>
  <c r="G20" i="1"/>
  <c r="G19" i="1"/>
  <c r="G16" i="1"/>
  <c r="G15" i="1"/>
  <c r="G52" i="1" l="1"/>
  <c r="G17" i="1"/>
  <c r="G29" i="1"/>
  <c r="G69" i="1"/>
  <c r="G75" i="1"/>
  <c r="G65" i="1"/>
  <c r="G60" i="1"/>
  <c r="G23" i="1"/>
  <c r="G77" i="1" l="1"/>
  <c r="G78" i="1" s="1"/>
  <c r="G79" i="1" s="1"/>
  <c r="G80" i="1" s="1"/>
  <c r="G81"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DPGFResume CCTP</author>
    <author>Clement MARIOT</author>
  </authors>
  <commentList>
    <comment ref="C15" authorId="0" shapeId="0" xr:uid="{00000000-0006-0000-0000-000004000000}">
      <text>
        <r>
          <rPr>
            <sz val="8"/>
            <rFont val="Arial"/>
          </rPr>
          <t>Source : page 6
3.1.2.1 Implantation piquetage. L’implantation générale sera réalisée par l’entrepreneur. Il sera procédé contradictoirement à la reconnaissance de cette implantation avant l’ouverture du chantier, cette reconnaissance donnant lieu à l’établissement d’un procès-verbal d’implantation qui sera établi par le Maître d’œuvre et notifié à l’entrepreneur. Le piquetage des emprises fait également partie de l’implantation générale.</t>
        </r>
      </text>
    </comment>
    <comment ref="C16" authorId="0" shapeId="0" xr:uid="{00000000-0006-0000-0000-00000D000000}">
      <text>
        <r>
          <rPr>
            <sz val="8"/>
            <rFont val="Arial"/>
          </rPr>
          <t>Source : page 6
3.1.3 Sondage. En plus des DICT et dans le but d’établir un plan de synthèse des réseaux existants, l’entrepreneur procédera à la réalisation des fouilles ponctuelles pour lever le doute sur la localisation de certains réseaux.</t>
        </r>
      </text>
    </comment>
    <comment ref="C19" authorId="0" shapeId="0" xr:uid="{00000000-0006-0000-0000-000013000000}">
      <text>
        <r>
          <rPr>
            <sz val="8"/>
            <rFont val="Arial"/>
          </rPr>
          <t>Source : page 7
3.2.2 Dépose des candélabres existant. L’entreprise réalisera la dépose, le curage et la démolition de deux candélabres, y compris massifs, identifiés sur plan en façade du bâtiment. En cas d’impact sur la chaussée existante, l’entrepreneur veillera à remettre en état les éléments dégradés, conformément à l’existant.</t>
        </r>
      </text>
    </comment>
    <comment ref="C20" authorId="0" shapeId="0" xr:uid="{00000000-0006-0000-0000-000016000000}">
      <text>
        <r>
          <rPr>
            <sz val="8"/>
            <rFont val="Arial"/>
          </rPr>
          <t>Source : page 7
3.2.3 Dépose des clôtures existantes. L’entreprise réalisera la dépose et la mise en stock des clôtures existantes identifiées sur plan. Celles-ci seront remises en œuvre à la fin des travaux. Durant les travaux, des barrières type HERAS remplaceront ces éléments.</t>
        </r>
      </text>
    </comment>
    <comment ref="C21" authorId="0" shapeId="0" xr:uid="{00000000-0006-0000-0000-000019000000}">
      <text>
        <r>
          <rPr>
            <sz val="8"/>
            <rFont val="Arial"/>
          </rPr>
          <t>Source : page 7
3.2.4 Dépose des bordures existantes. L’entreprise réalisera la dépose et la mise en stock des bordures existantes identifiées sur plan. Celles-ci seront remises en œuvre à la fin des travaux, après nivellement du talus existant, et réalisation des réseaux adjacents. En cas de besoin, de nouvelles bordures de remplacement, conformes au point 3.5.6 du présent CCTP, seront prévues et mises en œuvre à l’instar de l’existant.</t>
        </r>
      </text>
    </comment>
    <comment ref="C22" authorId="0" shapeId="0" xr:uid="{00000000-0006-0000-0000-00001C000000}">
      <text>
        <r>
          <rPr>
            <sz val="8"/>
            <rFont val="Arial"/>
          </rPr>
          <t>Source : page 7
3.2.5 Débroussaillage et arrachage haie, arbuste. L’arrachage des broussailles et des haies sera exécuté, si nécessaire, dans les conditions prévues à l'article 17 du fascicule 2 du C.C.T.G. Les produits seront évacués par l’entrepreneur et à ses frais, à une décharge de son choix. Ce poste concerne également l’abatage et l’essouchage des arbres petits sujets (D&lt;15cm).</t>
        </r>
      </text>
    </comment>
    <comment ref="C25" authorId="0" shapeId="0" xr:uid="{00000000-0006-0000-0000-00001F000000}">
      <text>
        <r>
          <rPr>
            <sz val="8"/>
            <rFont val="Arial"/>
          </rPr>
          <t>Source : page 7
3.3.1 Décapage de terre végétale et évacuation hors site. L’entrepreneur doit le décapage sur 30 cm mini sous l’emprise des espaces verts terrassés. La terre végétale excédentaire sera évacuée hors site à la charge du présent lot.</t>
        </r>
      </text>
    </comment>
    <comment ref="C26" authorId="0" shapeId="0" xr:uid="{00000000-0006-0000-0000-000022000000}">
      <text>
        <r>
          <rPr>
            <sz val="8"/>
            <rFont val="Arial"/>
          </rPr>
          <t>Source : page 8
3.3.2 Décapage de terre végétale et mise en stock sur site. Le besoin en terre végétale des espaces verts futurs sera mis en merlon sur pour une reprise ultérieure.</t>
        </r>
      </text>
    </comment>
    <comment ref="C27" authorId="0" shapeId="0" xr:uid="{00000000-0006-0000-0000-000025000000}">
      <text>
        <r>
          <rPr>
            <sz val="8"/>
            <rFont val="Arial"/>
          </rPr>
          <t>Source : page 8
3.3.3 Reprise de terre végétale et mise en œuvre sur espaces verts. Le présent lot aura à charge la reprise et la mise en œuvre de la terre végétale sur les futures zones d’espace vert. L'entreprise prévoira l'épierrage et l'enlèvement de tous débris de végétaux et matériaux impropres à la végétation. Les zones à planter seront recouvertes de 30cm minimum de terre végétale.</t>
        </r>
      </text>
    </comment>
    <comment ref="C28" authorId="0" shapeId="0" xr:uid="{00000000-0006-0000-0000-000028000000}">
      <text>
        <r>
          <rPr>
            <sz val="8"/>
            <rFont val="Arial"/>
          </rPr>
          <t>Source : page 8
3.3.4 Terrassement en déblai évacué hors site. Les terrassements en déblai doivent être conduits de façon à réaliser les profils théoriques définis sur les différents plans disponibles pour chacun des lots du présent marché. Les déblais sont exécutés par des moyens laissés à l’initiative de l’entrepreneur. Ces moyens doivent tenir compte des contraintes imposées par le CCAP et le CCTP. Les moyens et les modalités d’extraction utilisés par l’entrepreneur sont à décrire dans son PAQ. Dans le cas où des sur profondeurs auraient été accidentelle</t>
        </r>
      </text>
    </comment>
    <comment ref="C31" authorId="0" shapeId="0" xr:uid="{B4633670-B77E-4784-8884-A5C9EE2C9B4F}">
      <text>
        <r>
          <rPr>
            <sz val="8"/>
            <rFont val="Arial"/>
          </rPr>
          <t>Source : page 14
3.5.5 Mise à niveau des ouvrages existants. Au besoin, les ouvrages divers (regard, bouche à clé, chambre, …) seront mis à niveau du revêtement définitif après réglage de la couche sous-jacente. Cette mise à niveau sera faite par bourrage des vides dégagés au béton C250 et scellement au mortier de ciment. Ces scellements seront arasés au chanfrein à leur partie supérieure de façon à dégager le cadre métallique sur une hauteur minimale de deux centimètres (2 cm). Seuls les ouvrages existants conservés sont concernés par le présent poste. L</t>
        </r>
      </text>
    </comment>
    <comment ref="C33" authorId="0" shapeId="0" xr:uid="{00000000-0006-0000-0000-00002E000000}">
      <text>
        <r>
          <rPr>
            <sz val="8"/>
            <rFont val="Arial"/>
          </rPr>
          <t>Source : page 9
3.4.1 Fourniture et pose d'une cuve de récupération. L’entrepreneur aura à charge la fourniture et pose d’une cuve de récupération des eaux de pluie de capacité de 10 000 Litres. La cuve récupèrera les eaux relevées par la station de refoulement existante, et sera équipée d’une surverse vers le réseau existant. Cette prestation comprend : • Les terrassements nécessaires ; • Lit de pose et d’enrobage en sable ; • F&amp;P du réservoir étanche en béton ; • F&amp;P des rehausses et tampons adaptés à la circulation ; •</t>
        </r>
      </text>
    </comment>
    <comment ref="C35" authorId="0" shapeId="0" xr:uid="{73E1043D-0B04-4421-8F76-0C1300D5EAB3}">
      <text>
        <r>
          <rPr>
            <sz val="8"/>
            <rFont val="Arial"/>
          </rPr>
          <t>Source : page 10
3.4.2.3 Tuyau PVC. Les tuyaux seront revêtus de la marque de conformité à la norme NF-SP du commentaire de l'article 2.2 du fascicule 70 de janvier 1992 et en provenance d'usines agréées. Les tuyaux pour le réseau d’eaux pluviales/usées ainsi que pour les branchements des bouches d’égout, descentes d’eaux pluviales et connexions eaux usées sont en PVC conformes à la norme NF EN 1401-1 et leur classe de résistance est SN8 minimum. Les diamètres sont spécifiés sur le plan des réseaux. La pose des canalisations sera</t>
        </r>
      </text>
    </comment>
    <comment ref="C36" authorId="0" shapeId="0" xr:uid="{00000000-0006-0000-0000-000037000000}">
      <text>
        <r>
          <rPr>
            <sz val="8"/>
            <rFont val="Arial"/>
          </rPr>
          <t>Source : page 10
3.4.2.3 Tuyau PVC. Les tuyaux seront revêtus de la marque de conformité à la norme NF-SP du commentaire de l'article 2.2 du fascicule 70 de janvier 1992 et en provenance d'usines agréées. Les tuyaux pour le réseau d’eaux pluviales/usées ainsi que pour les branchements des bouches d’égout, descentes d’eaux pluviales et connexions eaux usées sont en PVC conformes à la norme NF EN 1401-1 et leur classe de résistance est SN8 minimum. Les diamètres sont spécifiés sur le plan des réseaux. La pose des canalisations sera</t>
        </r>
      </text>
    </comment>
    <comment ref="C37" authorId="0" shapeId="0" xr:uid="{9878640C-A89A-4308-AE0B-D17B3485B12E}">
      <text>
        <r>
          <rPr>
            <sz val="8"/>
            <rFont val="Arial"/>
          </rPr>
          <t>Source : page 12
3.4.7 Fourniture et pose de regard de visite. Voir 3.4.3</t>
        </r>
      </text>
    </comment>
    <comment ref="C38" authorId="0" shapeId="0" xr:uid="{00000000-0006-0000-0000-00003D000000}">
      <text>
        <r>
          <rPr>
            <sz val="8"/>
            <rFont val="Arial"/>
          </rPr>
          <t>Source : page 11
3.4.3.2 Boite de branchement. Les boîtes de branchement EU/EP seront :  des tabourets PVC de diamètre 600 mm jusqu’à 1m de profond ;  des regards en béton diamètre 800 mm au-delà de 1m de profond. Elles seront titulaires de la marque NF. Les boîtes de branchement sont disposées en limite bâtiment tel que défini aux positions approximatives indiquées sur les plans. Elles sont obligatoirement préfabriquées et équipées de joints d’étanchéité adaptés au diamètre des branchements. Il est privilégié la mise en œuvre de boites de</t>
        </r>
      </text>
    </comment>
    <comment ref="C39" authorId="0" shapeId="0" xr:uid="{00000000-0006-0000-0000-000040000000}">
      <text>
        <r>
          <rPr>
            <sz val="8"/>
            <rFont val="Arial"/>
          </rPr>
          <t>Source : page 11
3.4.4 Caniveau à grille. Fourniture et pose de caniveau à grille fonte type Hauraton DN100 et de classe C250. Le raccordement au réseau EP fait partie de la présente prestation. Une pénétration dans le soutènement existant sera à prévoir pour permettre la mise en œuvre de l’évacuation des EP du caniveau vers un regard équipé d’un système de relevage, dimensionné selon le besoin. L’entrepreneur s’assurera de maintenir la rampe existante, et son inclinaison, lors de son intervention pour la réalisation du caniveau. Si une</t>
        </r>
      </text>
    </comment>
    <comment ref="C40" authorId="0" shapeId="0" xr:uid="{00000000-0006-0000-0000-000043000000}">
      <text>
        <r>
          <rPr>
            <sz val="8"/>
            <rFont val="Arial"/>
          </rPr>
          <t>Source : page 11
3.4.5 Pompe de relevage. L'entrepreneur fournira, posera et mettra en service une station de relevage complète, comprenant notamment une cuve en polyéthylène enterrée adaptée aux contraintes de l'ouvrage, les pompes de relevage, les dispositifs de guidage, les clapets anti-retour, les vannes d'isolement, les canalisations de refoulement, les équipements de régulation (flotteurs ou sondes), le coffret de commande, les alarmes de défaut et l'ensemble des accessoires nécessaires au parfait fonctionnement de l'installation.</t>
        </r>
      </text>
    </comment>
    <comment ref="C41" authorId="0" shapeId="0" xr:uid="{4B22D256-878E-4DD6-8531-8BF7CC42BA00}">
      <text>
        <r>
          <rPr>
            <sz val="8"/>
            <rFont val="Arial"/>
          </rPr>
          <t>Source : page 11
3.4.5 Pompe de relevage. L'entrepreneur fournira, posera et mettra en service une station de relevage complète, comprenant notamment une cuve en polyéthylène enterrée adaptée aux contraintes de l'ouvrage, les pompes de relevage, les dispositifs de guidage, les clapets anti-retour, les vannes d'isolement, les canalisations de refoulement, les équipements de régulation (flotteurs ou sondes), le coffret de commande, les alarmes de défaut et l'ensemble des accessoires nécessaires au parfait fonctionnement de l'installation.</t>
        </r>
      </text>
    </comment>
    <comment ref="C42" authorId="0" shapeId="0" xr:uid="{00000000-0006-0000-0000-000046000000}">
      <text>
        <r>
          <rPr>
            <sz val="8"/>
            <rFont val="Arial"/>
          </rPr>
          <t>Source : page 11
3.4.5 Reprise des sorties en pied de bâtiment. Les attentes sous dalle seront posées par le lot GO jusqu’à 1m du nu de bâtiment. L’entrepreneur aura à charge la reprise des canalisations, leur raccordements et étanchéités. La reprise peut nécessitée la pose de coudes. ASSAINISSEMENT EAU USEE</t>
        </r>
      </text>
    </comment>
    <comment ref="C45" authorId="0" shapeId="0" xr:uid="{3E3D398F-959A-45E1-BC80-04023D25FF85}">
      <text>
        <r>
          <rPr>
            <sz val="8"/>
            <rFont val="Arial"/>
          </rPr>
          <t>Source : page 10
3.4.2.3 Tuyau PVC. Les tuyaux seront revêtus de la marque de conformité à la norme NF-SP du commentaire de l'article 2.2 du fascicule 70 de janvier 1992 et en provenance d'usines agréées. Les tuyaux pour le réseau d’eaux pluviales/usées ainsi que pour les branchements des bouches d’égout, descentes d’eaux pluviales et connexions eaux usées sont en PVC conformes à la norme NF EN 1401-1 et leur classe de résistance est SN8 minimum. Les diamètres sont spécifiés sur le plan des réseaux. La pose des canalisations sera</t>
        </r>
      </text>
    </comment>
    <comment ref="C46" authorId="0" shapeId="0" xr:uid="{00000000-0006-0000-0000-00004C000000}">
      <text>
        <r>
          <rPr>
            <sz val="8"/>
            <rFont val="Arial"/>
          </rPr>
          <t>Source : page 12
3.4.7 Fourniture et pose de regard de visite. Voir 3.4.3</t>
        </r>
      </text>
    </comment>
    <comment ref="C47" authorId="0" shapeId="0" xr:uid="{00000000-0006-0000-0000-00004F000000}">
      <text>
        <r>
          <rPr>
            <sz val="8"/>
            <rFont val="Arial"/>
          </rPr>
          <t>Source : page 12
3.4.8 Reprise des sorties en pied de bâtiment. Voir 3.4.5 CONTRÔLE QUALITE Le contrôle intérieur doit faire la preuve que l’ouvrage dans tous ses détails est conforme aux clauses du marché (matériaux, produits, mise en œuvre, etc.). Ces contrôles comprendront au minimum :  Les contrôles visuels de fond de fouille, de lit de pose, de mise en œuvre du géotextile (fiches de contrôle) ;  Les contrôles de réception et de conformité de tous les matériaux et produits (fiches de réception) ;  Les contrôles par essais de plaque et pénétromètre dyn</t>
        </r>
      </text>
    </comment>
    <comment ref="C49" authorId="0" shapeId="0" xr:uid="{00000000-0006-0000-0000-000052000000}">
      <text>
        <r>
          <rPr>
            <sz val="8"/>
            <rFont val="Arial"/>
          </rPr>
          <t>Source : page 12
3.4.9 Contrôle qualité du niveau de compactage. Des essais à la plaque et au pénétromètre seront exigés pour chaque tronçon d’assainissement. En cas d’anomalie, l’entrepreneur reprendra dans sa totalité de la couche de forme-fondation, les frais d'essais ainsi que les travaux pour mise aux normes de compactage seront entièrement à la charge de l'entrepreneur. Il sera fait référence à la note technique " Compactage des remblais de tranchées " du Ministère des Transports, pour la qualité de compactage requise.</t>
        </r>
      </text>
    </comment>
    <comment ref="C50" authorId="0" shapeId="0" xr:uid="{00000000-0006-0000-0000-000055000000}">
      <text>
        <r>
          <rPr>
            <sz val="8"/>
            <rFont val="Arial"/>
          </rPr>
          <t>Source : page 12
3.4.10 Contrôle qualité des collecteurs. Les épreuves de canalisations seront effectuées conformément au fascicule 70 du CCTG, par une entreprise spécialisée agréée par le maître d’œuvre. Chaque tronçon est obturé à ses extrémités aval et amont. Les essais doivent être précédés d’un curage à l’eau de tout le réseau. L’étanchéité sera suivie d’un passage caméra donnant lieu à un rapport de contrôle justifiant la conformité.</t>
        </r>
      </text>
    </comment>
    <comment ref="C51" authorId="0" shapeId="0" xr:uid="{00000000-0006-0000-0000-000058000000}">
      <text>
        <r>
          <rPr>
            <sz val="8"/>
            <rFont val="Arial"/>
          </rPr>
          <t>Source : page 12
3.4.11 Contrôle qualité des ouvrages d'assainissement. Les tests d'étanchéités seront réalisés sur tous les ouvrages posés y compris les boites de branchements.</t>
        </r>
      </text>
    </comment>
    <comment ref="C54" authorId="0" shapeId="0" xr:uid="{00000000-0006-0000-0000-00005B000000}">
      <text>
        <r>
          <rPr>
            <sz val="8"/>
            <rFont val="Arial"/>
          </rPr>
          <t>Source : page 13
3.5.1 Réglage de fond de forme. L'exécution de celle-ci sera conforme au Guide Technique " Réalisation des remblais et des couches de forme " réalisé par le SETRA et le LCPC. La plate-forme support de chaussée sera nivelée avec une tolérance de plus ou moins trois centimètres (± 3 cm). La déformabilité de la plate-forme au moment de la mise en œuvre des couches de chaussée, sera telle que : module EV2 déterminé à la plaque soit supérieur à 30 MPa sous chaussée en enrobé Ce poste concerne toutes les surfaces à revêtir.</t>
        </r>
      </text>
    </comment>
    <comment ref="C55" authorId="0" shapeId="0" xr:uid="{00000000-0006-0000-0000-00005E000000}">
      <text>
        <r>
          <rPr>
            <sz val="8"/>
            <rFont val="Arial"/>
          </rPr>
          <t>Source : page 13
3.5.2 Géotextile. La sous-couche anti-contaminante de séparation sera constituée par un géotextile anti-poinçonnement de type non tissé et aiguilleté. Il sera de la classe 5 certifié repris au fascicule de recommandation du Comité Français de Géotextile mais restera soumis à l’avis du Maître d’Œuvre. Les éléments seront assemblés par chevauchement de 0.40 à 1 mètre, selon l'état du sol et la nature des agrégats. D'autres techniques d'assemblage pourront être préconisées (coutures, agrafages). Au préalable, l'Entr</t>
        </r>
      </text>
    </comment>
    <comment ref="C56" authorId="0" shapeId="0" xr:uid="{00000000-0006-0000-0000-000061000000}">
      <text>
        <r>
          <rPr>
            <sz val="8"/>
            <rFont val="Arial"/>
          </rPr>
          <t>Source : page 13
3.5.3 Couche de forme en grave non traitée 0/31.5. Avant l’application des revêtements il sera mis en œuvre une couche de réglage en matériau 0/31,5. Les caractéristiques des granulats pour chaussées devront être conformes aux spécifications éditées par la norme XP P18-540 relative aux caractéristiques des granulats destinés aux travaux routiers. Les granulats seront de type : Résistance mécanique des gravillons D Caractéristiques de fabrication des gravillons II Caractéristiques de fabrication des sables b Angularité des gravillons et des sable</t>
        </r>
      </text>
    </comment>
    <comment ref="C58" authorId="0" shapeId="0" xr:uid="{00000000-0006-0000-0000-000073000000}">
      <text>
        <r>
          <rPr>
            <sz val="8"/>
            <rFont val="Arial"/>
          </rPr>
          <t>Source : page 15
3.5.6 Fourniture et pose de bordure béton. Les bordures préfabriqués ou coulés en place seront des éléments normalisés en béton et seront revêtus de la marque de conformité à la norme NF P98-340, classe U+B. Les dimensions transversales des éléments préfabriqués en béton de ciment sont définies par les dessins figurant au fascicule n°31 du C.C.T.G. applicables au marché de travaux publics. Tout élément sur chantier non conforme à la norme NF P98-302 ou en mauvais état sera évacué par les soins de l’entrepreneur et à ses frais. Les joints</t>
        </r>
      </text>
    </comment>
    <comment ref="C62" authorId="1" shapeId="0" xr:uid="{0A24B746-3F6C-4DFE-9A43-A33E140A6F29}">
      <text>
        <r>
          <rPr>
            <b/>
            <sz val="9"/>
            <color indexed="81"/>
            <rFont val="Tahoma"/>
            <family val="2"/>
          </rPr>
          <t>Clement MARIOT:</t>
        </r>
        <r>
          <rPr>
            <sz val="9"/>
            <color indexed="81"/>
            <rFont val="Tahoma"/>
            <family val="2"/>
          </rPr>
          <t xml:space="preserve">
Source : page 15
3.6.1 Tranchée commune
L'ouverture et le remblayage des tranchées seront conformes à la norme NF P 98-331 de septembre 1994, au Guide Technique de Remblayage des Tranchées du S.E.T.R.A.
Toutes les sujétions relatives à la présence des différents réseaux et des ouvrages à créer ou existants sont réputées être incluses dans la prestation.
Les câbles ou canalisations se trouvant sous les ouvrages de génie civil seront protégés par la mise en place de fourreaux conformément aux règles imposées par les services concernés.
Pour les fourreaux faisant partie du présent marché, après la mise en place du sable de protection, il est posé un grillage avertisseur de couleur conventionnelle.
Les matériaux mis en œuvre devront être conformes à la norme NF P 11-300 complétée par le tableau 2 de la norme NP P 98-331.
3.6.1.1 Lit de pose et enrobage. Le lit de pose et l’enrobage sont réalisés avec des matériaux non friables de type D1 ou D2 et tel que : • Dmax &lt;= 22 mm si DN &lt;= 200 mm. • Dmax &lt;= 40 mm si DN &gt; 200 mm.</t>
        </r>
      </text>
    </comment>
    <comment ref="C63" authorId="0" shapeId="0" xr:uid="{00000000-0006-0000-0000-00007C000000}">
      <text>
        <r>
          <rPr>
            <sz val="8"/>
            <rFont val="Arial"/>
          </rPr>
          <t>Source : page 15
3.6.1 Tranchée commune
L'ouverture et le remblayage des tranchées seront conformes à la norme NF P 98-331 de septembre 1994, au Guide Technique de Remblayage des Tranchées du S.E.T.R.A.
Toutes les sujétions relatives à la présence des différents réseaux et des ouvrages à créer ou existants sont réputées être incluses dans la prestation.
Les câbles ou canalisations se trouvant sous les ouvrages de génie civil seront protégés par la mise en place de fourreaux conformément aux règles imposées par les services concernés.
Pour les fourreaux faisant partie du présent marché, après la mise en place du sable de protection, il est posé un grillage avertisseur de couleur conventionnelle.
Les matériaux mis en œuvre devront être conformes à la norme NF P 11-300 complétée par le tableau 2 de la norme NP P 98-331.
3.6.1.1 Lit de pose et enrobage. Le lit de pose et l’enrobage sont réalisés avec des matériaux non friables de type D1 ou D2 et tel que : • Dmax &lt;= 22 mm si DN &lt;= 200 mm. • Dmax &lt;= 40 mm si DN &gt; 200 mm.</t>
        </r>
      </text>
    </comment>
    <comment ref="C64" authorId="0" shapeId="0" xr:uid="{00000000-0006-0000-0000-000082000000}">
      <text>
        <r>
          <rPr>
            <sz val="8"/>
            <rFont val="Arial"/>
          </rPr>
          <t>Source : page 16
3.6.2 Contrôle qualité de compactage. Les objectifs de densification à obtenir sont de niveau : • Sous chaussée : o De niveau q2 sur les 50 cm supérieurs de la tranchée o De niveau q5 dans la zone d’enrobage des fourreaux neufs ou existant o De niveau q4, sur la zone située entre le dessus de l’enrobage des fourreaux et le dessous de la structure de réfection de chaussée, le cas échéant o De niveau q3 ailleurs •</t>
        </r>
      </text>
    </comment>
    <comment ref="C67" authorId="0" shapeId="0" xr:uid="{00000000-0006-0000-0000-000085000000}">
      <text>
        <r>
          <rPr>
            <sz val="8"/>
            <rFont val="Arial"/>
          </rPr>
          <t>Source : page 16
3.6.3 Fourniture et pose de fourreau rouge. Les gaines et fourreaux devront être approuvés par les administrations et services intéressées. Ils seront homologués et conformes aux prescriptions de chaque nature de réseau ainsi qu’aux normes AFNOR. La profondeur des fouilles doit permettre d’assurer une charge de recouvrement de la canalisation comprise entre 0,60 m et 0,80 m. Après purge de tous corps saillants et régalage du fond de fouille, la canalisation est posée sur un lit de sable de dix centimètres (0,10 m) et recouverte de dix cen</t>
        </r>
      </text>
    </comment>
    <comment ref="C68" authorId="0" shapeId="0" xr:uid="{00000000-0006-0000-0000-000088000000}">
      <text>
        <r>
          <rPr>
            <sz val="8"/>
            <rFont val="Arial"/>
          </rPr>
          <t>Source : page 17
3.6.4 Fourniture et pose de chambre de tirage. Pour faciliter le tirage et l’aiguillage des câbles, des chambres de tirage de dimensions intérieures 40 x 40 cm avec couverture métallique classe C250 ou B125 selon l’usage seront posées. Les fourreaux doivent être coupés à ras et les ficelles attachées à la paroi. RESEAU D’ECLAIRAGE</t>
        </r>
      </text>
    </comment>
    <comment ref="C71" authorId="0" shapeId="0" xr:uid="{00000000-0006-0000-0000-00008B000000}">
      <text>
        <r>
          <rPr>
            <sz val="8"/>
            <rFont val="Arial"/>
          </rPr>
          <t>Source : page 17
3.6.5 Fourreau de janolène et Câble de terre. Fourreau lisse janoléne ou annelé dimensions 63 pour l’éclairage. Câble nu de cuivre de 25 mm² de section cheminant sur toute la longueur des tranchées où sont installés les câbles d'éclairage public. Toutes les masses métalliques des réseaux d'éclairage sont reliées à ce câble, par connexion causse. Réseau Diamètre fourreau (mm) Couleur Courant fort ECL 63 Rouge Mise à la terre 25mm² Cuivre</t>
        </r>
      </text>
    </comment>
    <comment ref="C73" authorId="0" shapeId="0" xr:uid="{00000000-0006-0000-0000-00008E000000}">
      <text>
        <r>
          <rPr>
            <sz val="8"/>
            <rFont val="Arial"/>
          </rPr>
          <t>Source : page 17
3.6.6 Fourniture et pose de chambre de tirage. Pour faciliter le tirage et l’aiguillage des câbles, des chambres de tirage de dimensions intérieures 40 x 40 cm avec couverture métallique classe C250 ou B125 selon l’usage seront posées. Les fourreaux doivent être coupés à ras et les ficelles attachées à la paroi.</t>
        </r>
      </text>
    </comment>
    <comment ref="C74" authorId="0" shapeId="0" xr:uid="{00000000-0006-0000-0000-000091000000}">
      <text>
        <r>
          <rPr>
            <sz val="8"/>
            <rFont val="Arial"/>
          </rPr>
          <t>Source : page 17
3.6.7 Réalisation des massifs. La détermination des dimensions des massifs d'ancrage est fonction de la nature du terrain, du site et du type de candélabre. On se réfèrera aux DTU 13.1 pour encadrer les règles du calcul des fondations superficielles. Il est à prévoir : • les fouilles nécessaires et l'évacuation des déblais pour assurer la stabilité dans les cas les plus défavorables et mettre le sol d'assise à l'abri du gel • le blindage éventuel • la mise en place de cadres métalliques pour le scellement des appareils ou tro</t>
        </r>
      </text>
    </comment>
  </commentList>
</comments>
</file>

<file path=xl/sharedStrings.xml><?xml version="1.0" encoding="utf-8"?>
<sst xmlns="http://schemas.openxmlformats.org/spreadsheetml/2006/main" count="185" uniqueCount="141">
  <si>
    <t>BONDUELLE
BONDUELLE
25_189</t>
  </si>
  <si>
    <t>DCE</t>
  </si>
  <si>
    <t>DPGF</t>
  </si>
  <si>
    <t>Date :</t>
  </si>
  <si>
    <t>Nom de l'entreprise :</t>
  </si>
  <si>
    <t>À compléter</t>
  </si>
  <si>
    <t>LOT 01 — VRD</t>
  </si>
  <si>
    <t>Code</t>
  </si>
  <si>
    <t>Désignation</t>
  </si>
  <si>
    <t>Unité</t>
  </si>
  <si>
    <t>Quantité</t>
  </si>
  <si>
    <t>P.U. HT</t>
  </si>
  <si>
    <t>Montant HT</t>
  </si>
  <si>
    <t>DESCRIPTIF DES OUVRAGES</t>
  </si>
  <si>
    <t>3</t>
  </si>
  <si>
    <t>SPECIFICATIONS TECHNIQUES GENERALES</t>
  </si>
  <si>
    <t>3.1</t>
  </si>
  <si>
    <t>TRAVAUX GENERAUX</t>
  </si>
  <si>
    <t>3.1.1</t>
  </si>
  <si>
    <t>Ens</t>
  </si>
  <si>
    <t>3.1.2</t>
  </si>
  <si>
    <t>3.1.3</t>
  </si>
  <si>
    <t>Sondage</t>
  </si>
  <si>
    <t>Sous-total 3.1</t>
  </si>
  <si>
    <t>3.2</t>
  </si>
  <si>
    <t>TRAVAUX PREPARATOIRES</t>
  </si>
  <si>
    <t>3.2.1</t>
  </si>
  <si>
    <t>3.2.2</t>
  </si>
  <si>
    <t>3.2.3</t>
  </si>
  <si>
    <t>Dépose des clôtures existantes</t>
  </si>
  <si>
    <t>3.2.4</t>
  </si>
  <si>
    <t>Dépose des bordures existantes</t>
  </si>
  <si>
    <t>Débroussaillage et arrachage haie, arbuste</t>
  </si>
  <si>
    <t>Sous-total 3.2</t>
  </si>
  <si>
    <t>3.3</t>
  </si>
  <si>
    <t>TERRASSEMENTS</t>
  </si>
  <si>
    <t>3.3.1</t>
  </si>
  <si>
    <t>Décapage de terre végétale et évacuation hors site</t>
  </si>
  <si>
    <t>m³</t>
  </si>
  <si>
    <t>3.3.2</t>
  </si>
  <si>
    <t>Décapage de terre végétale et mise en stock sur site</t>
  </si>
  <si>
    <t>3.3.3</t>
  </si>
  <si>
    <t>Reprise de terre végétale et mise en œuvre sur espaces verts</t>
  </si>
  <si>
    <t>3.3.4</t>
  </si>
  <si>
    <t>Terrassement en déblai évacué hors site</t>
  </si>
  <si>
    <t>Mise à niveau des ouvrages existants</t>
  </si>
  <si>
    <t>Sous-total 3.3</t>
  </si>
  <si>
    <t>3.4</t>
  </si>
  <si>
    <t>OUVRAGES D’ASSAINISSEMENT</t>
  </si>
  <si>
    <t>3.4.1</t>
  </si>
  <si>
    <t>3.4.2</t>
  </si>
  <si>
    <t>Fourniture et pose de canalisation y compris réalisation de tranchée</t>
  </si>
  <si>
    <t>ml</t>
  </si>
  <si>
    <t>3.4.2.3</t>
  </si>
  <si>
    <t>3.4.3</t>
  </si>
  <si>
    <t>3.4.3.1</t>
  </si>
  <si>
    <t>U</t>
  </si>
  <si>
    <t>3.4.3.2</t>
  </si>
  <si>
    <t>3.4.4</t>
  </si>
  <si>
    <t>Reprise des sorties en pied de bâtiment</t>
  </si>
  <si>
    <t>Sous-total 3.4</t>
  </si>
  <si>
    <t>3.5</t>
  </si>
  <si>
    <t>REFECTION DE VOIRIE</t>
  </si>
  <si>
    <t>3.5.1</t>
  </si>
  <si>
    <t>Réglage de fond de forme</t>
  </si>
  <si>
    <t>3.5.2</t>
  </si>
  <si>
    <t>3.5.3</t>
  </si>
  <si>
    <t>Couche de forme en grave non traitée 0/31.5</t>
  </si>
  <si>
    <t>3.5.4</t>
  </si>
  <si>
    <t>3.5.5</t>
  </si>
  <si>
    <t>3.5.6</t>
  </si>
  <si>
    <t>Fourniture et pose de bordure béton</t>
  </si>
  <si>
    <t>Marquage au sol</t>
  </si>
  <si>
    <t>Sous-total 3.5</t>
  </si>
  <si>
    <t>3.6</t>
  </si>
  <si>
    <t>3.6.1</t>
  </si>
  <si>
    <t>3.6.2</t>
  </si>
  <si>
    <t>Contrôle qualité de compactage</t>
  </si>
  <si>
    <t>3.6.3</t>
  </si>
  <si>
    <t>Fourniture et pose de chambre de tirage</t>
  </si>
  <si>
    <t>Réalisation des massifs</t>
  </si>
  <si>
    <t>Sous-total 3.6</t>
  </si>
  <si>
    <t>TOTAL € H.T. hors prorata</t>
  </si>
  <si>
    <t>Prorata 1.5%</t>
  </si>
  <si>
    <t>TOTAL € H.T. compris prorata</t>
  </si>
  <si>
    <t>TVA à 20.00 %</t>
  </si>
  <si>
    <t>TOTAL € T.T.C.</t>
  </si>
  <si>
    <t>⚠ NOTICE DE REMPLISSAGE DU DPGF (FICHIER EXCEL)
Avant toute saisie, les entreprises sont invitées à respecter les règles suivantes :
1. Saisie des quantités et des prix
Renseigner ou confirmer uniquement les cellules jaunes prévues pour les quantités et les prix unitaires. Les cellules contenant des formules ne doivent pas être modifiées.
2. Structure du document
Le classeur reste modifiable. Des lignes peuvent être ajoutées si nécessaire ; veillez alors à recopier les formules de quantité, prix et montant ainsi qu'à vérifier les totaux.
3. Options et variantes
Les options ou variantes identifiées doivent être chiffrées sur les lignes dédiées. Elles ne sont pas intégrées dans l'offre de base, sauf indication contraire.
4. Calcul des montants
Les montants sont exprimés en euros hors taxes (€ HT). Les calculs suivent la structure :
Total HT hors prorata → Prorata → Total HT compris prorata → TVA → Total TTC.
Toute modification du fichier pouvant altérer les calculs pourra entraîner l'irrégularité de l'offre.</t>
  </si>
  <si>
    <t>Fourniture et pose d'une pompe de relevage</t>
  </si>
  <si>
    <t>Ft</t>
  </si>
  <si>
    <t>m²</t>
  </si>
  <si>
    <t>PM</t>
  </si>
  <si>
    <t>TRANCHEES COMMUNES</t>
  </si>
  <si>
    <t>3.7</t>
  </si>
  <si>
    <t>RESEAU BASSE TENSION</t>
  </si>
  <si>
    <t>RESEAU ECLAIRAGE</t>
  </si>
  <si>
    <t>3.7.1</t>
  </si>
  <si>
    <t>3.7.2</t>
  </si>
  <si>
    <t>3.8</t>
  </si>
  <si>
    <t>3.8.1</t>
  </si>
  <si>
    <t>3.8.2</t>
  </si>
  <si>
    <t>3.8.3</t>
  </si>
  <si>
    <t>Fourniture et pose de gaine janolène DN63 rouge</t>
  </si>
  <si>
    <t>Fourniture et pose de câble de mise à la terre CU25²</t>
  </si>
  <si>
    <t>3.8.4</t>
  </si>
  <si>
    <t>Fourniture et pose de chambre de tirage taille 40x40 avec fonte B125</t>
  </si>
  <si>
    <t>Tranchée 1 réseau</t>
  </si>
  <si>
    <t>Tranchée 2 réseaux</t>
  </si>
  <si>
    <t>Fourniture et pose de fourreau DN160 rouge</t>
  </si>
  <si>
    <t>Géotextile classe V</t>
  </si>
  <si>
    <t>Fourniture et mise en œuvre de BBSG 0/10 pour couche de surface sur 0,05m</t>
  </si>
  <si>
    <t>EAUX USEES</t>
  </si>
  <si>
    <t>CONTRÔLE QUALITE</t>
  </si>
  <si>
    <t xml:space="preserve">Contrôle qualité du niveau de compactage </t>
  </si>
  <si>
    <t>Contrôle qualité des collecteurs d'assainissement (curage, Etanchéité, ITV)</t>
  </si>
  <si>
    <t>Contrôle qualité des ouvrages d'assainissement (Etanchéité RV)</t>
  </si>
  <si>
    <t>EAUX PLUVIALES</t>
  </si>
  <si>
    <t>Fourniture et pose d'une cuve de récupération (volume utile : 10m³)</t>
  </si>
  <si>
    <t>Fourniture et pose de canalisation y compris réalisation de tranchée :</t>
  </si>
  <si>
    <t xml:space="preserve">Fourniture et pose d'un caniveau à grille fonte type Hauraton DN100 en pied de bâtiment </t>
  </si>
  <si>
    <t>- Canalisation diamètre 200mm PVC SN8</t>
  </si>
  <si>
    <t>- Canalisation DN160 PVC SN8 pour reprise du caniveau à grille</t>
  </si>
  <si>
    <t>3.4.2.1</t>
  </si>
  <si>
    <t>3.4.2.2</t>
  </si>
  <si>
    <t>Pénétration dans le soutènement existant pour récupération du caniveau</t>
  </si>
  <si>
    <t>- Canalisation diamètre 100 PVC SN8 pour reprise du caniveau</t>
  </si>
  <si>
    <t>Dépose des candélabres existants, y compris démolition des massifs et purge</t>
  </si>
  <si>
    <t>Constat d'huissier</t>
  </si>
  <si>
    <t>Fourniture et pose de regards de visite en béton
préfabriqué NF y compris mise à niveau définitive</t>
  </si>
  <si>
    <t>Implantation, piquetage, Dossier EXE, et DOE en fin de chantier</t>
  </si>
  <si>
    <t>Regard de branchement 60x60 avec fonte B125</t>
  </si>
  <si>
    <t>3.4.2.3.1</t>
  </si>
  <si>
    <t>3.4.2.3.2</t>
  </si>
  <si>
    <t>3.4.2.4</t>
  </si>
  <si>
    <t>3.4.2.5</t>
  </si>
  <si>
    <t>3.4.2.6</t>
  </si>
  <si>
    <t>3.4.4.1</t>
  </si>
  <si>
    <t>3.4.4.2</t>
  </si>
  <si>
    <t>3.4.4.3</t>
  </si>
  <si>
    <t>Sous-total 3.7</t>
  </si>
  <si>
    <t>Sous-total 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</si>
</sst>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0.00\ &quot;€&quot;"/>
    <numFmt numFmtId="165" formatCode="_-* #,##0.00\ _€_-;\-* #,##0.00\ _€_-;_-* &quot;-&quot;??\ _€_-;_-@_-"/>
  </numFmts>
  <fonts count="45" x14ac:knownFonts="1">
    <font>
      <sz val="8"/>
      <name val="Arial"/>
    </font>
    <font>
      <sz val="11"/>
      <color theme="1"/>
      <name val="Calibri"/>
      <family val="2"/>
      <scheme val="minor"/>
    </font>
    <font>
      <sz val="10"/>
      <name val="Arial"/>
      <family val="2"/>
    </font>
    <font>
      <b/>
      <sz val="10"/>
      <name val="Arial"/>
      <family val="2"/>
    </font>
    <font>
      <sz val="8"/>
      <name val="Arial"/>
      <family val="2"/>
    </font>
    <font>
      <sz val="10"/>
      <name val="Arial"/>
      <family val="2"/>
    </font>
    <font>
      <sz val="8"/>
      <name val="Times New Roman"/>
      <family val="1"/>
    </font>
    <font>
      <sz val="11"/>
      <color theme="1"/>
      <name val="Calibri"/>
      <family val="2"/>
      <scheme val="minor"/>
    </font>
    <font>
      <u/>
      <sz val="8"/>
      <color theme="10"/>
      <name val="Arial"/>
      <family val="2"/>
    </font>
    <font>
      <sz val="11"/>
      <color indexed="8"/>
      <name val="Calibri"/>
      <family val="2"/>
    </font>
    <font>
      <u/>
      <sz val="11"/>
      <color rgb="FF0000FF"/>
      <name val="Calibri"/>
      <family val="2"/>
      <scheme val="minor"/>
    </font>
    <font>
      <u/>
      <sz val="8"/>
      <color theme="10"/>
      <name val="Times New Roman"/>
      <family val="1"/>
    </font>
    <font>
      <b/>
      <sz val="8"/>
      <name val="Arial"/>
      <family val="2"/>
    </font>
    <font>
      <b/>
      <u/>
      <sz val="11"/>
      <name val="Arial"/>
      <family val="2"/>
    </font>
    <font>
      <b/>
      <sz val="11"/>
      <name val="Arial"/>
      <family val="2"/>
    </font>
    <font>
      <b/>
      <sz val="9"/>
      <name val="Arial"/>
      <family val="2"/>
    </font>
    <font>
      <b/>
      <u/>
      <sz val="11"/>
      <name val="Times New Roman"/>
      <family val="1"/>
    </font>
    <font>
      <i/>
      <sz val="8"/>
      <name val="Arial"/>
      <family val="2"/>
    </font>
    <font>
      <b/>
      <u/>
      <sz val="12"/>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
      <u/>
      <sz val="11"/>
      <color rgb="FF800080"/>
      <name val="Calibri"/>
      <family val="2"/>
      <scheme val="minor"/>
    </font>
    <font>
      <u/>
      <sz val="11"/>
      <color theme="10"/>
      <name val="Calibri"/>
      <family val="2"/>
      <scheme val="minor"/>
    </font>
    <font>
      <b/>
      <sz val="11"/>
      <name val="Calibri"/>
      <family val="2"/>
      <scheme val="minor"/>
    </font>
    <font>
      <b/>
      <sz val="9"/>
      <color rgb="FFFF0000"/>
      <name val="Arial"/>
      <family val="2"/>
    </font>
    <font>
      <b/>
      <u/>
      <sz val="8"/>
      <color rgb="FFFF0000"/>
      <name val="Arial"/>
      <family val="2"/>
    </font>
    <font>
      <b/>
      <sz val="9"/>
      <name val="Arial"/>
    </font>
    <font>
      <sz val="9"/>
      <color rgb="FF44546A"/>
      <name val="Aptos"/>
    </font>
    <font>
      <sz val="9"/>
      <color indexed="81"/>
      <name val="Tahoma"/>
      <family val="2"/>
    </font>
    <font>
      <b/>
      <sz val="9"/>
      <color indexed="81"/>
      <name val="Tahoma"/>
      <family val="2"/>
    </font>
    <font>
      <b/>
      <i/>
      <u/>
      <sz val="8"/>
      <name val="Arial"/>
      <family val="2"/>
    </font>
  </fonts>
  <fills count="38">
    <fill>
      <patternFill patternType="none"/>
    </fill>
    <fill>
      <patternFill patternType="gray125"/>
    </fill>
    <fill>
      <patternFill patternType="solid">
        <fgColor indexed="9"/>
      </patternFill>
    </fill>
    <fill>
      <patternFill patternType="solid">
        <fgColor rgb="FFFFFFCC"/>
      </patternFill>
    </fill>
    <fill>
      <patternFill patternType="solid">
        <fgColor theme="4" tint="0.79998168889431442"/>
        <bgColor indexed="65"/>
      </patternFill>
    </fill>
    <fill>
      <patternFill patternType="solid">
        <fgColor theme="4" tint="0.59999389629810485"/>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39997558519241921"/>
        <bgColor indexed="65"/>
      </patternFill>
    </fill>
    <fill>
      <patternFill patternType="solid">
        <fgColor theme="5"/>
      </patternFill>
    </fill>
    <fill>
      <patternFill patternType="solid">
        <fgColor theme="5" tint="0.39997558519241921"/>
        <bgColor indexed="65"/>
      </patternFill>
    </fill>
    <fill>
      <patternFill patternType="solid">
        <fgColor theme="6"/>
      </patternFill>
    </fill>
    <fill>
      <patternFill patternType="solid">
        <fgColor theme="6" tint="0.39997558519241921"/>
        <bgColor indexed="65"/>
      </patternFill>
    </fill>
    <fill>
      <patternFill patternType="solid">
        <fgColor theme="7"/>
      </patternFill>
    </fill>
    <fill>
      <patternFill patternType="solid">
        <fgColor theme="7" tint="0.39997558519241921"/>
        <bgColor indexed="65"/>
      </patternFill>
    </fill>
    <fill>
      <patternFill patternType="solid">
        <fgColor theme="8"/>
      </patternFill>
    </fill>
    <fill>
      <patternFill patternType="solid">
        <fgColor theme="8" tint="0.39997558519241921"/>
        <bgColor indexed="65"/>
      </patternFill>
    </fill>
    <fill>
      <patternFill patternType="solid">
        <fgColor theme="9"/>
      </patternFill>
    </fill>
    <fill>
      <patternFill patternType="solid">
        <fgColor theme="9" tint="0.39997558519241921"/>
        <bgColor indexed="65"/>
      </patternFill>
    </fill>
    <fill>
      <patternFill patternType="solid">
        <fgColor theme="9" tint="0.79998168889431442"/>
        <bgColor indexed="64"/>
      </patternFill>
    </fill>
    <fill>
      <patternFill patternType="solid">
        <fgColor theme="0"/>
        <bgColor indexed="64"/>
      </patternFill>
    </fill>
    <fill>
      <patternFill patternType="solid">
        <fgColor rgb="FFFFF2CC"/>
      </patternFill>
    </fill>
    <fill>
      <patternFill patternType="solid">
        <fgColor rgb="FFF2F6FA"/>
      </patternFill>
    </fill>
  </fills>
  <borders count="39">
    <border>
      <left/>
      <right/>
      <top/>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medium">
        <color indexed="64"/>
      </bottom>
      <diagonal/>
    </border>
    <border>
      <left/>
      <right style="medium">
        <color theme="1"/>
      </right>
      <top/>
      <bottom/>
      <diagonal/>
    </border>
    <border>
      <left style="thin">
        <color indexed="64"/>
      </left>
      <right style="medium">
        <color theme="1"/>
      </right>
      <top style="thin">
        <color indexed="64"/>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style="thin">
        <color theme="1"/>
      </bottom>
      <diagonal/>
    </border>
    <border>
      <left style="thin">
        <color theme="1"/>
      </left>
      <right style="thin">
        <color theme="1"/>
      </right>
      <top style="thin">
        <color theme="1"/>
      </top>
      <bottom style="thin">
        <color theme="1"/>
      </bottom>
      <diagonal/>
    </border>
    <border>
      <left style="medium">
        <color indexed="64"/>
      </left>
      <right style="medium">
        <color indexed="64"/>
      </right>
      <top style="medium">
        <color indexed="64"/>
      </top>
      <bottom style="medium">
        <color indexed="64"/>
      </bottom>
      <diagonal/>
    </border>
    <border>
      <left/>
      <right/>
      <top style="thin">
        <color theme="1"/>
      </top>
      <bottom style="thin">
        <color theme="1"/>
      </bottom>
      <diagonal/>
    </border>
    <border>
      <left/>
      <right style="thin">
        <color theme="1"/>
      </right>
      <top style="thin">
        <color theme="1"/>
      </top>
      <bottom style="thin">
        <color theme="1"/>
      </bottom>
      <diagonal/>
    </border>
  </borders>
  <cellStyleXfs count="1028">
    <xf numFmtId="0" fontId="0" fillId="0" borderId="0">
      <alignment vertical="top" wrapText="1"/>
      <protection locked="0"/>
    </xf>
    <xf numFmtId="44" fontId="5" fillId="0" borderId="0"/>
    <xf numFmtId="44" fontId="5" fillId="0" borderId="0"/>
    <xf numFmtId="165" fontId="7" fillId="0" borderId="0"/>
    <xf numFmtId="44" fontId="4" fillId="0" borderId="0"/>
    <xf numFmtId="4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alignment vertical="top" wrapText="1"/>
      <protection locked="0"/>
    </xf>
    <xf numFmtId="9" fontId="4" fillId="0" borderId="0"/>
    <xf numFmtId="9" fontId="7" fillId="0" borderId="0"/>
    <xf numFmtId="0" fontId="7" fillId="0" borderId="0"/>
    <xf numFmtId="0" fontId="7" fillId="0" borderId="0"/>
    <xf numFmtId="0" fontId="7" fillId="0" borderId="0"/>
    <xf numFmtId="165" fontId="7" fillId="0" borderId="0"/>
    <xf numFmtId="165" fontId="7" fillId="0" borderId="0"/>
    <xf numFmtId="44" fontId="7" fillId="0" borderId="0"/>
    <xf numFmtId="4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xf numFmtId="9" fontId="7" fillId="0" borderId="0"/>
    <xf numFmtId="0" fontId="4" fillId="0" borderId="0">
      <alignment vertical="top" wrapText="1"/>
      <protection locked="0"/>
    </xf>
    <xf numFmtId="0" fontId="7" fillId="0" borderId="0"/>
    <xf numFmtId="0" fontId="9" fillId="0" borderId="0"/>
    <xf numFmtId="0" fontId="5" fillId="0" borderId="0"/>
    <xf numFmtId="0" fontId="7" fillId="0" borderId="0"/>
    <xf numFmtId="0" fontId="7" fillId="0" borderId="0"/>
    <xf numFmtId="0" fontId="7" fillId="0" borderId="0"/>
    <xf numFmtId="0" fontId="7" fillId="4" borderId="0"/>
    <xf numFmtId="0" fontId="7" fillId="4" borderId="0"/>
    <xf numFmtId="0" fontId="7" fillId="4" borderId="0"/>
    <xf numFmtId="0" fontId="7" fillId="6" borderId="0"/>
    <xf numFmtId="0" fontId="7" fillId="6" borderId="0"/>
    <xf numFmtId="0" fontId="7" fillId="6" borderId="0"/>
    <xf numFmtId="0" fontId="7" fillId="8" borderId="0"/>
    <xf numFmtId="0" fontId="7" fillId="8" borderId="0"/>
    <xf numFmtId="0" fontId="7" fillId="8" borderId="0"/>
    <xf numFmtId="0" fontId="7" fillId="10" borderId="0"/>
    <xf numFmtId="0" fontId="7" fillId="10" borderId="0"/>
    <xf numFmtId="0" fontId="7" fillId="10" borderId="0"/>
    <xf numFmtId="0" fontId="7" fillId="12" borderId="0"/>
    <xf numFmtId="0" fontId="7" fillId="12" borderId="0"/>
    <xf numFmtId="0" fontId="7" fillId="12" borderId="0"/>
    <xf numFmtId="0" fontId="7" fillId="14" borderId="0"/>
    <xf numFmtId="0" fontId="7" fillId="14" borderId="0"/>
    <xf numFmtId="0" fontId="7" fillId="14" borderId="0"/>
    <xf numFmtId="0" fontId="7" fillId="5" borderId="0"/>
    <xf numFmtId="0" fontId="7" fillId="5" borderId="0"/>
    <xf numFmtId="0" fontId="7" fillId="5" borderId="0"/>
    <xf numFmtId="0" fontId="7" fillId="7" borderId="0"/>
    <xf numFmtId="0" fontId="7" fillId="7" borderId="0"/>
    <xf numFmtId="0" fontId="7" fillId="7" borderId="0"/>
    <xf numFmtId="0" fontId="7" fillId="9" borderId="0"/>
    <xf numFmtId="0" fontId="7" fillId="9" borderId="0"/>
    <xf numFmtId="0" fontId="7" fillId="9" borderId="0"/>
    <xf numFmtId="0" fontId="7" fillId="11" borderId="0"/>
    <xf numFmtId="0" fontId="7" fillId="11" borderId="0"/>
    <xf numFmtId="0" fontId="7" fillId="11" borderId="0"/>
    <xf numFmtId="0" fontId="7" fillId="13" borderId="0"/>
    <xf numFmtId="0" fontId="7" fillId="13" borderId="0"/>
    <xf numFmtId="0" fontId="7" fillId="13" borderId="0"/>
    <xf numFmtId="0" fontId="7" fillId="15" borderId="0"/>
    <xf numFmtId="0" fontId="7" fillId="15" borderId="0"/>
    <xf numFmtId="0" fontId="7" fillId="15" borderId="0"/>
    <xf numFmtId="0" fontId="7" fillId="3" borderId="13"/>
    <xf numFmtId="0" fontId="7" fillId="3" borderId="13"/>
    <xf numFmtId="0" fontId="7" fillId="3" borderId="13"/>
    <xf numFmtId="0" fontId="7" fillId="3" borderId="13"/>
    <xf numFmtId="0" fontId="10" fillId="0" borderId="0"/>
    <xf numFmtId="0" fontId="8" fillId="0" borderId="0">
      <alignment vertical="top" wrapText="1"/>
      <protection locked="0"/>
    </xf>
    <xf numFmtId="165" fontId="7" fillId="0" borderId="0"/>
    <xf numFmtId="44" fontId="7" fillId="0" borderId="0"/>
    <xf numFmtId="44" fontId="4" fillId="0" borderId="0"/>
    <xf numFmtId="44"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alignment vertical="top" wrapText="1"/>
      <protection locked="0"/>
    </xf>
    <xf numFmtId="0" fontId="7" fillId="0" borderId="0"/>
    <xf numFmtId="0" fontId="7" fillId="0" borderId="0"/>
    <xf numFmtId="0" fontId="7" fillId="0" borderId="0"/>
    <xf numFmtId="0" fontId="4" fillId="0" borderId="0">
      <alignment vertical="top" wrapText="1"/>
      <protection locked="0"/>
    </xf>
    <xf numFmtId="0" fontId="7" fillId="0" borderId="0"/>
    <xf numFmtId="0" fontId="7" fillId="0" borderId="0"/>
    <xf numFmtId="0" fontId="9" fillId="0" borderId="0"/>
    <xf numFmtId="9" fontId="7" fillId="0" borderId="0"/>
    <xf numFmtId="0" fontId="8" fillId="0" borderId="0">
      <alignment vertical="top" wrapText="1"/>
      <protection locked="0"/>
    </xf>
    <xf numFmtId="0" fontId="7" fillId="0" borderId="0"/>
    <xf numFmtId="0" fontId="7" fillId="0" borderId="0"/>
    <xf numFmtId="0" fontId="7" fillId="0" borderId="0"/>
    <xf numFmtId="0" fontId="7" fillId="0" borderId="0"/>
    <xf numFmtId="0" fontId="7" fillId="0" borderId="0"/>
    <xf numFmtId="165" fontId="7" fillId="0" borderId="0"/>
    <xf numFmtId="0" fontId="7" fillId="0" borderId="0"/>
    <xf numFmtId="0" fontId="7" fillId="0" borderId="0"/>
    <xf numFmtId="0" fontId="7" fillId="0" borderId="0"/>
    <xf numFmtId="9" fontId="7" fillId="0" borderId="0"/>
    <xf numFmtId="44" fontId="7" fillId="0" borderId="0"/>
    <xf numFmtId="0" fontId="7" fillId="0" borderId="0"/>
    <xf numFmtId="0" fontId="7" fillId="0" borderId="0"/>
    <xf numFmtId="9" fontId="7" fillId="0" borderId="0"/>
    <xf numFmtId="4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xf numFmtId="44" fontId="7" fillId="0" borderId="0"/>
    <xf numFmtId="0" fontId="7" fillId="0" borderId="0"/>
    <xf numFmtId="0" fontId="7" fillId="0" borderId="0"/>
    <xf numFmtId="9" fontId="7" fillId="0" borderId="0"/>
    <xf numFmtId="44" fontId="7" fillId="0" borderId="0"/>
    <xf numFmtId="0" fontId="7" fillId="0" borderId="0"/>
    <xf numFmtId="0" fontId="7" fillId="0" borderId="0"/>
    <xf numFmtId="0" fontId="5"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4" fontId="5" fillId="0" borderId="0"/>
    <xf numFmtId="44" fontId="5" fillId="0" borderId="0"/>
    <xf numFmtId="165" fontId="7" fillId="0" borderId="0"/>
    <xf numFmtId="44" fontId="4" fillId="0" borderId="0"/>
    <xf numFmtId="4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xf numFmtId="0" fontId="7" fillId="0" borderId="0"/>
    <xf numFmtId="0" fontId="7" fillId="0" borderId="0"/>
    <xf numFmtId="0" fontId="7" fillId="0" borderId="0"/>
    <xf numFmtId="165" fontId="7" fillId="0" borderId="0"/>
    <xf numFmtId="165" fontId="7" fillId="0" borderId="0"/>
    <xf numFmtId="44" fontId="7" fillId="0" borderId="0"/>
    <xf numFmtId="44"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xf numFmtId="9" fontId="7" fillId="0" borderId="0"/>
    <xf numFmtId="0" fontId="7" fillId="0" borderId="0"/>
    <xf numFmtId="0" fontId="7" fillId="0" borderId="0"/>
    <xf numFmtId="0" fontId="7" fillId="0" borderId="0"/>
    <xf numFmtId="0" fontId="7" fillId="0" borderId="0"/>
    <xf numFmtId="0" fontId="7" fillId="4" borderId="0"/>
    <xf numFmtId="0" fontId="7" fillId="4" borderId="0"/>
    <xf numFmtId="0" fontId="7" fillId="4" borderId="0"/>
    <xf numFmtId="0" fontId="7" fillId="6" borderId="0"/>
    <xf numFmtId="0" fontId="7" fillId="6" borderId="0"/>
    <xf numFmtId="0" fontId="7" fillId="6" borderId="0"/>
    <xf numFmtId="0" fontId="7" fillId="8" borderId="0"/>
    <xf numFmtId="0" fontId="7" fillId="8" borderId="0"/>
    <xf numFmtId="0" fontId="7" fillId="8" borderId="0"/>
    <xf numFmtId="0" fontId="7" fillId="10" borderId="0"/>
    <xf numFmtId="0" fontId="7" fillId="10" borderId="0"/>
    <xf numFmtId="0" fontId="7" fillId="10" borderId="0"/>
    <xf numFmtId="0" fontId="7" fillId="12" borderId="0"/>
    <xf numFmtId="0" fontId="7" fillId="12" borderId="0"/>
    <xf numFmtId="0" fontId="7" fillId="12" borderId="0"/>
    <xf numFmtId="0" fontId="7" fillId="14" borderId="0"/>
    <xf numFmtId="0" fontId="7" fillId="14" borderId="0"/>
    <xf numFmtId="0" fontId="7" fillId="14" borderId="0"/>
    <xf numFmtId="0" fontId="7" fillId="5" borderId="0"/>
    <xf numFmtId="0" fontId="7" fillId="5" borderId="0"/>
    <xf numFmtId="0" fontId="7" fillId="5" borderId="0"/>
    <xf numFmtId="0" fontId="7" fillId="7" borderId="0"/>
    <xf numFmtId="0" fontId="7" fillId="7" borderId="0"/>
    <xf numFmtId="0" fontId="7" fillId="7" borderId="0"/>
    <xf numFmtId="0" fontId="7" fillId="9" borderId="0"/>
    <xf numFmtId="0" fontId="7" fillId="9" borderId="0"/>
    <xf numFmtId="0" fontId="7" fillId="9" borderId="0"/>
    <xf numFmtId="0" fontId="7" fillId="11" borderId="0"/>
    <xf numFmtId="0" fontId="7" fillId="11" borderId="0"/>
    <xf numFmtId="0" fontId="7" fillId="11" borderId="0"/>
    <xf numFmtId="0" fontId="7" fillId="13" borderId="0"/>
    <xf numFmtId="0" fontId="7" fillId="13" borderId="0"/>
    <xf numFmtId="0" fontId="7" fillId="13" borderId="0"/>
    <xf numFmtId="0" fontId="7" fillId="15" borderId="0"/>
    <xf numFmtId="0" fontId="7" fillId="15" borderId="0"/>
    <xf numFmtId="0" fontId="7" fillId="15" borderId="0"/>
    <xf numFmtId="0" fontId="7" fillId="3" borderId="13"/>
    <xf numFmtId="0" fontId="7" fillId="3" borderId="13"/>
    <xf numFmtId="0" fontId="7" fillId="3" borderId="13"/>
    <xf numFmtId="0" fontId="7" fillId="3" borderId="13"/>
    <xf numFmtId="165" fontId="7" fillId="0" borderId="0"/>
    <xf numFmtId="44" fontId="7" fillId="0" borderId="0"/>
    <xf numFmtId="44" fontId="4" fillId="0" borderId="0"/>
    <xf numFmtId="44"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9" fontId="7" fillId="0" borderId="0"/>
    <xf numFmtId="0" fontId="7" fillId="0" borderId="0"/>
    <xf numFmtId="0" fontId="7" fillId="0" borderId="0"/>
    <xf numFmtId="0" fontId="7" fillId="0" borderId="0"/>
    <xf numFmtId="0" fontId="7" fillId="0" borderId="0"/>
    <xf numFmtId="0" fontId="7" fillId="0" borderId="0"/>
    <xf numFmtId="165" fontId="7" fillId="0" borderId="0"/>
    <xf numFmtId="0" fontId="7" fillId="0" borderId="0"/>
    <xf numFmtId="0" fontId="5" fillId="0" borderId="0"/>
    <xf numFmtId="44" fontId="5" fillId="0" borderId="0"/>
    <xf numFmtId="44"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44" fontId="5" fillId="0" borderId="0"/>
    <xf numFmtId="165" fontId="7" fillId="0" borderId="0"/>
    <xf numFmtId="44" fontId="7" fillId="0" borderId="0"/>
    <xf numFmtId="9" fontId="7" fillId="0" borderId="0"/>
    <xf numFmtId="0" fontId="33" fillId="0" borderId="0"/>
    <xf numFmtId="0" fontId="34" fillId="18" borderId="0"/>
    <xf numFmtId="0" fontId="32" fillId="23" borderId="0"/>
    <xf numFmtId="0" fontId="32" fillId="25" borderId="0"/>
    <xf numFmtId="0" fontId="32" fillId="27" borderId="0"/>
    <xf numFmtId="0" fontId="32" fillId="29" borderId="0"/>
    <xf numFmtId="0" fontId="32" fillId="31" borderId="0"/>
    <xf numFmtId="0" fontId="32" fillId="33" borderId="0"/>
    <xf numFmtId="0" fontId="7" fillId="0" borderId="0"/>
    <xf numFmtId="0" fontId="7" fillId="3" borderId="13"/>
    <xf numFmtId="0" fontId="7" fillId="0" borderId="0"/>
    <xf numFmtId="0" fontId="7" fillId="4" borderId="0"/>
    <xf numFmtId="0" fontId="7" fillId="5" borderId="0"/>
    <xf numFmtId="0" fontId="7" fillId="6" borderId="0"/>
    <xf numFmtId="0" fontId="7" fillId="7" borderId="0"/>
    <xf numFmtId="0" fontId="7" fillId="8" borderId="0"/>
    <xf numFmtId="0" fontId="7" fillId="9" borderId="0"/>
    <xf numFmtId="0" fontId="7" fillId="10" borderId="0"/>
    <xf numFmtId="0" fontId="7" fillId="11" borderId="0"/>
    <xf numFmtId="0" fontId="7" fillId="12" borderId="0"/>
    <xf numFmtId="0" fontId="7" fillId="13" borderId="0"/>
    <xf numFmtId="0" fontId="7" fillId="14" borderId="0"/>
    <xf numFmtId="0" fontId="7" fillId="15"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xf numFmtId="44" fontId="7" fillId="0" borderId="0"/>
    <xf numFmtId="9" fontId="7" fillId="0" borderId="0"/>
    <xf numFmtId="0" fontId="7" fillId="0" borderId="0"/>
    <xf numFmtId="0" fontId="7" fillId="3" borderId="13"/>
    <xf numFmtId="44" fontId="4"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xf numFmtId="44" fontId="7" fillId="0" borderId="0"/>
    <xf numFmtId="9" fontId="7" fillId="0" borderId="0"/>
    <xf numFmtId="0" fontId="7" fillId="4" borderId="0"/>
    <xf numFmtId="0" fontId="7" fillId="5" borderId="0"/>
    <xf numFmtId="0" fontId="7" fillId="6" borderId="0"/>
    <xf numFmtId="0" fontId="7" fillId="7" borderId="0"/>
    <xf numFmtId="0" fontId="7" fillId="8" borderId="0"/>
    <xf numFmtId="0" fontId="7" fillId="9" borderId="0"/>
    <xf numFmtId="0" fontId="7" fillId="10" borderId="0"/>
    <xf numFmtId="0" fontId="7" fillId="11" borderId="0"/>
    <xf numFmtId="0" fontId="7" fillId="12" borderId="0"/>
    <xf numFmtId="0" fontId="7" fillId="13" borderId="0"/>
    <xf numFmtId="0" fontId="7" fillId="14" borderId="0"/>
    <xf numFmtId="0" fontId="7" fillId="15" borderId="0"/>
    <xf numFmtId="0" fontId="7" fillId="0" borderId="0"/>
    <xf numFmtId="0" fontId="7" fillId="3" borderId="13"/>
    <xf numFmtId="0" fontId="7" fillId="0" borderId="0"/>
    <xf numFmtId="0" fontId="7" fillId="4" borderId="0"/>
    <xf numFmtId="0" fontId="7" fillId="5" borderId="0"/>
    <xf numFmtId="0" fontId="7" fillId="6" borderId="0"/>
    <xf numFmtId="0" fontId="7" fillId="7" borderId="0"/>
    <xf numFmtId="0" fontId="7" fillId="8" borderId="0"/>
    <xf numFmtId="0" fontId="7" fillId="9" borderId="0"/>
    <xf numFmtId="0" fontId="7" fillId="10" borderId="0"/>
    <xf numFmtId="0" fontId="7" fillId="11" borderId="0"/>
    <xf numFmtId="0" fontId="7" fillId="12" borderId="0"/>
    <xf numFmtId="0" fontId="7" fillId="13" borderId="0"/>
    <xf numFmtId="0" fontId="7" fillId="14" borderId="0"/>
    <xf numFmtId="0" fontId="7" fillId="15"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65" fontId="7" fillId="0" borderId="0"/>
    <xf numFmtId="44" fontId="7" fillId="0" borderId="0"/>
    <xf numFmtId="9" fontId="7" fillId="0" borderId="0"/>
    <xf numFmtId="0" fontId="7" fillId="0" borderId="0"/>
    <xf numFmtId="0" fontId="7" fillId="3" borderId="13"/>
    <xf numFmtId="44" fontId="4" fillId="0" borderId="0"/>
    <xf numFmtId="0" fontId="7" fillId="0" borderId="0"/>
    <xf numFmtId="0" fontId="7" fillId="0" borderId="0"/>
    <xf numFmtId="0" fontId="7" fillId="0" borderId="0"/>
    <xf numFmtId="0" fontId="7" fillId="0" borderId="0"/>
    <xf numFmtId="0" fontId="5" fillId="0" borderId="0"/>
    <xf numFmtId="0" fontId="4" fillId="0" borderId="0">
      <alignment vertical="top" wrapText="1"/>
      <protection locked="0"/>
    </xf>
    <xf numFmtId="0" fontId="7" fillId="0" borderId="0"/>
    <xf numFmtId="0" fontId="36"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4" fillId="0" borderId="0" applyAlignment="0">
      <alignment vertical="top" wrapText="1"/>
      <protection locked="0"/>
    </xf>
    <xf numFmtId="44" fontId="2" fillId="0" borderId="0" applyFont="0" applyFill="0" applyBorder="0" applyAlignment="0" applyProtection="0"/>
    <xf numFmtId="44" fontId="2" fillId="0" borderId="0" applyFont="0" applyFill="0" applyBorder="0" applyAlignment="0" applyProtection="0"/>
    <xf numFmtId="165" fontId="1"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Alignment="0">
      <alignment vertical="top" wrapText="1"/>
      <protection locked="0"/>
    </xf>
    <xf numFmtId="9" fontId="4"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4" fillId="0" borderId="0" applyAlignment="0">
      <alignment vertical="top" wrapText="1"/>
      <protection locked="0"/>
    </xf>
    <xf numFmtId="0" fontId="1" fillId="0" borderId="0"/>
    <xf numFmtId="0" fontId="2" fillId="0" borderId="0"/>
    <xf numFmtId="0" fontId="1" fillId="0" borderId="0"/>
    <xf numFmtId="0" fontId="1" fillId="0" borderId="0"/>
    <xf numFmtId="0" fontId="1" fillId="0" borderId="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3" borderId="13" applyNumberFormat="0" applyFont="0" applyAlignment="0" applyProtection="0"/>
    <xf numFmtId="0" fontId="1" fillId="3" borderId="13" applyNumberFormat="0" applyFont="0" applyAlignment="0" applyProtection="0"/>
    <xf numFmtId="0" fontId="1" fillId="3" borderId="13" applyNumberFormat="0" applyFont="0" applyAlignment="0" applyProtection="0"/>
    <xf numFmtId="0" fontId="1" fillId="3" borderId="13" applyNumberFormat="0" applyFont="0" applyAlignment="0" applyProtection="0"/>
    <xf numFmtId="0" fontId="10" fillId="0" borderId="0" applyNumberFormat="0" applyFill="0" applyBorder="0" applyAlignment="0" applyProtection="0"/>
    <xf numFmtId="0" fontId="8" fillId="0" borderId="0" applyNumberFormat="0" applyFill="0" applyBorder="0" applyAlignment="0" applyProtection="0">
      <alignment vertical="top" wrapText="1"/>
      <protection locked="0"/>
    </xf>
    <xf numFmtId="165" fontId="1"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4" fillId="0" borderId="0" applyAlignment="0">
      <alignment vertical="top" wrapText="1"/>
      <protection locked="0"/>
    </xf>
    <xf numFmtId="0" fontId="1" fillId="0" borderId="0"/>
    <xf numFmtId="0" fontId="1" fillId="0" borderId="0"/>
    <xf numFmtId="0" fontId="1" fillId="0" borderId="0"/>
    <xf numFmtId="0" fontId="4" fillId="0" borderId="0" applyAlignment="0">
      <alignment vertical="top" wrapText="1"/>
      <protection locked="0"/>
    </xf>
    <xf numFmtId="0" fontId="1" fillId="0" borderId="0"/>
    <xf numFmtId="0" fontId="1" fillId="0" borderId="0"/>
    <xf numFmtId="9" fontId="1" fillId="0" borderId="0" applyFont="0" applyFill="0" applyBorder="0" applyAlignment="0" applyProtection="0"/>
    <xf numFmtId="0" fontId="8" fillId="0" borderId="0" applyNumberFormat="0" applyFill="0" applyBorder="0" applyAlignment="0" applyProtection="0">
      <alignment vertical="top" wrapText="1"/>
      <protection locked="0"/>
    </xf>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2" fillId="0" borderId="0" applyFont="0" applyFill="0" applyBorder="0" applyAlignment="0" applyProtection="0"/>
    <xf numFmtId="44" fontId="2" fillId="0" borderId="0" applyFont="0" applyFill="0" applyBorder="0" applyAlignment="0" applyProtection="0"/>
    <xf numFmtId="165" fontId="1" fillId="0" borderId="0" applyFont="0" applyFill="0" applyBorder="0" applyAlignment="0" applyProtection="0"/>
    <xf numFmtId="44" fontId="4"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3" borderId="13" applyNumberFormat="0" applyFont="0" applyAlignment="0" applyProtection="0"/>
    <xf numFmtId="0" fontId="1" fillId="3" borderId="13" applyNumberFormat="0" applyFont="0" applyAlignment="0" applyProtection="0"/>
    <xf numFmtId="0" fontId="1" fillId="3" borderId="13" applyNumberFormat="0" applyFont="0" applyAlignment="0" applyProtection="0"/>
    <xf numFmtId="0" fontId="1" fillId="3" borderId="13" applyNumberFormat="0" applyFont="0" applyAlignment="0" applyProtection="0"/>
    <xf numFmtId="165" fontId="1" fillId="0" borderId="0" applyFont="0" applyFill="0" applyBorder="0" applyAlignment="0" applyProtection="0"/>
    <xf numFmtId="44" fontId="1"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0" fontId="1" fillId="0" borderId="0"/>
    <xf numFmtId="0" fontId="2" fillId="0" borderId="0"/>
    <xf numFmtId="0" fontId="19" fillId="0" borderId="16" applyNumberFormat="0" applyFill="0" applyAlignment="0" applyProtection="0"/>
    <xf numFmtId="0" fontId="20" fillId="0" borderId="17" applyNumberFormat="0" applyFill="0" applyAlignment="0" applyProtection="0"/>
    <xf numFmtId="0" fontId="21" fillId="0" borderId="18" applyNumberFormat="0" applyFill="0" applyAlignment="0" applyProtection="0"/>
    <xf numFmtId="0" fontId="21" fillId="0" borderId="0" applyNumberFormat="0" applyFill="0" applyBorder="0" applyAlignment="0" applyProtection="0"/>
    <xf numFmtId="0" fontId="22" fillId="16" borderId="0" applyNumberFormat="0" applyBorder="0" applyAlignment="0" applyProtection="0"/>
    <xf numFmtId="0" fontId="23" fillId="17" borderId="0" applyNumberFormat="0" applyBorder="0" applyAlignment="0" applyProtection="0"/>
    <xf numFmtId="0" fontId="24" fillId="19" borderId="19" applyNumberFormat="0" applyAlignment="0" applyProtection="0"/>
    <xf numFmtId="0" fontId="25" fillId="20" borderId="20" applyNumberFormat="0" applyAlignment="0" applyProtection="0"/>
    <xf numFmtId="0" fontId="26" fillId="20" borderId="19" applyNumberFormat="0" applyAlignment="0" applyProtection="0"/>
    <xf numFmtId="0" fontId="27" fillId="0" borderId="21" applyNumberFormat="0" applyFill="0" applyAlignment="0" applyProtection="0"/>
    <xf numFmtId="0" fontId="28" fillId="21" borderId="22" applyNumberFormat="0" applyAlignment="0" applyProtection="0"/>
    <xf numFmtId="0" fontId="29" fillId="0" borderId="0" applyNumberFormat="0" applyFill="0" applyBorder="0" applyAlignment="0" applyProtection="0"/>
    <xf numFmtId="0" fontId="30" fillId="0" borderId="0" applyNumberFormat="0" applyFill="0" applyBorder="0" applyAlignment="0" applyProtection="0"/>
    <xf numFmtId="0" fontId="31" fillId="0" borderId="23" applyNumberFormat="0" applyFill="0" applyAlignment="0" applyProtection="0"/>
    <xf numFmtId="0" fontId="32" fillId="2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32" fillId="24"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32" fillId="26"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32" fillId="28"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32" fillId="30"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32" fillId="32"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44" fontId="2" fillId="0" borderId="0" applyFont="0" applyFill="0" applyBorder="0" applyAlignment="0" applyProtection="0"/>
    <xf numFmtId="44"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2" fillId="0" borderId="0" applyFont="0" applyFill="0" applyBorder="0" applyAlignment="0" applyProtection="0"/>
    <xf numFmtId="165"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33" fillId="0" borderId="0" applyNumberFormat="0" applyFill="0" applyBorder="0" applyAlignment="0" applyProtection="0"/>
    <xf numFmtId="0" fontId="34" fillId="18" borderId="0" applyNumberFormat="0" applyBorder="0" applyAlignment="0" applyProtection="0"/>
    <xf numFmtId="0" fontId="32" fillId="23" borderId="0" applyNumberFormat="0" applyBorder="0" applyAlignment="0" applyProtection="0"/>
    <xf numFmtId="0" fontId="32" fillId="25" borderId="0" applyNumberFormat="0" applyBorder="0" applyAlignment="0" applyProtection="0"/>
    <xf numFmtId="0" fontId="32" fillId="27" borderId="0" applyNumberFormat="0" applyBorder="0" applyAlignment="0" applyProtection="0"/>
    <xf numFmtId="0" fontId="32" fillId="29" borderId="0" applyNumberFormat="0" applyBorder="0" applyAlignment="0" applyProtection="0"/>
    <xf numFmtId="0" fontId="32" fillId="31" borderId="0" applyNumberFormat="0" applyBorder="0" applyAlignment="0" applyProtection="0"/>
    <xf numFmtId="0" fontId="32" fillId="33" borderId="0" applyNumberFormat="0" applyBorder="0" applyAlignment="0" applyProtection="0"/>
    <xf numFmtId="0" fontId="1" fillId="0" borderId="0"/>
    <xf numFmtId="0" fontId="1" fillId="3" borderId="13" applyNumberFormat="0" applyFont="0" applyAlignment="0" applyProtection="0"/>
    <xf numFmtId="0" fontId="35" fillId="0" borderId="0" applyNumberFormat="0" applyFill="0" applyBorder="0" applyAlignment="0" applyProtection="0"/>
    <xf numFmtId="0" fontId="1" fillId="0" borderId="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1" fillId="3" borderId="13" applyNumberFormat="0" applyFont="0" applyAlignment="0" applyProtection="0"/>
    <xf numFmtId="44" fontId="4"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3" borderId="13" applyNumberFormat="0" applyFont="0" applyAlignment="0" applyProtection="0"/>
    <xf numFmtId="0" fontId="1" fillId="0" borderId="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65"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xf numFmtId="0" fontId="1" fillId="3" borderId="13" applyNumberFormat="0" applyFont="0" applyAlignment="0" applyProtection="0"/>
    <xf numFmtId="44" fontId="4" fillId="0" borderId="0" applyFont="0" applyFill="0" applyBorder="0" applyAlignment="0" applyProtection="0"/>
    <xf numFmtId="0" fontId="1" fillId="0" borderId="0"/>
    <xf numFmtId="0" fontId="1" fillId="0" borderId="0"/>
    <xf numFmtId="0" fontId="1" fillId="0" borderId="0"/>
    <xf numFmtId="0" fontId="1" fillId="0" borderId="0"/>
    <xf numFmtId="0" fontId="2" fillId="0" borderId="0"/>
    <xf numFmtId="0" fontId="4" fillId="0" borderId="0" applyAlignment="0">
      <alignment vertical="top" wrapText="1"/>
      <protection locked="0"/>
    </xf>
    <xf numFmtId="0" fontId="1" fillId="0" borderId="0"/>
    <xf numFmtId="0" fontId="36"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4" fontId="1" fillId="0" borderId="0" applyFont="0" applyFill="0" applyBorder="0" applyAlignment="0" applyProtection="0"/>
    <xf numFmtId="44" fontId="4" fillId="0" borderId="0" applyFont="0" applyFill="0" applyBorder="0" applyAlignment="0" applyProtection="0"/>
  </cellStyleXfs>
  <cellXfs count="76">
    <xf numFmtId="0" fontId="0" fillId="0" borderId="0" xfId="0" applyAlignment="1" applyProtection="1"/>
    <xf numFmtId="0" fontId="6" fillId="0" borderId="0" xfId="0" applyFont="1" applyAlignment="1">
      <alignment horizontal="left" vertical="top"/>
      <protection locked="0"/>
    </xf>
    <xf numFmtId="0" fontId="4" fillId="0" borderId="0" xfId="0" applyFont="1" applyAlignment="1">
      <alignment horizontal="left" vertical="top"/>
      <protection locked="0"/>
    </xf>
    <xf numFmtId="0" fontId="11" fillId="0" borderId="0" xfId="148" applyFont="1" applyAlignment="1" applyProtection="1">
      <alignment horizontal="justify" vertical="center"/>
    </xf>
    <xf numFmtId="0" fontId="18" fillId="0" borderId="0" xfId="0" applyFont="1" applyAlignment="1">
      <alignment vertical="center"/>
      <protection locked="0"/>
    </xf>
    <xf numFmtId="0" fontId="0" fillId="0" borderId="0" xfId="0" applyAlignment="1">
      <alignment horizontal="left" vertical="top"/>
      <protection locked="0"/>
    </xf>
    <xf numFmtId="0" fontId="12" fillId="0" borderId="14" xfId="0" applyFont="1" applyBorder="1" applyAlignment="1">
      <alignment horizontal="left" vertical="center"/>
      <protection locked="0"/>
    </xf>
    <xf numFmtId="0" fontId="12" fillId="0" borderId="14" xfId="0" applyFont="1" applyBorder="1" applyAlignment="1">
      <alignment horizontal="center" vertical="center" wrapText="1"/>
      <protection locked="0"/>
    </xf>
    <xf numFmtId="4" fontId="12" fillId="0" borderId="14" xfId="0" applyNumberFormat="1" applyFont="1" applyBorder="1" applyAlignment="1">
      <alignment horizontal="center" vertical="center" wrapText="1"/>
      <protection locked="0"/>
    </xf>
    <xf numFmtId="0" fontId="12" fillId="0" borderId="15" xfId="0" applyFont="1" applyBorder="1" applyAlignment="1">
      <alignment horizontal="center" vertical="center" wrapText="1"/>
      <protection locked="0"/>
    </xf>
    <xf numFmtId="0" fontId="12" fillId="0" borderId="0" xfId="0" applyFont="1" applyAlignment="1">
      <alignment horizontal="left" vertical="top"/>
      <protection locked="0"/>
    </xf>
    <xf numFmtId="0" fontId="6" fillId="0" borderId="0" xfId="0" applyFont="1" applyAlignment="1" applyProtection="1"/>
    <xf numFmtId="0" fontId="3" fillId="0" borderId="5" xfId="0" applyFont="1" applyBorder="1" applyAlignment="1">
      <alignment horizontal="center" vertical="top"/>
      <protection locked="0"/>
    </xf>
    <xf numFmtId="0" fontId="3" fillId="0" borderId="6" xfId="0" applyFont="1" applyBorder="1" applyAlignment="1">
      <alignment horizontal="center" vertical="top"/>
      <protection locked="0"/>
    </xf>
    <xf numFmtId="0" fontId="0" fillId="0" borderId="0" xfId="0" applyAlignment="1">
      <alignment horizontal="center" vertical="top"/>
      <protection locked="0"/>
    </xf>
    <xf numFmtId="4" fontId="0" fillId="0" borderId="0" xfId="0" applyNumberFormat="1" applyAlignment="1">
      <alignment horizontal="left" vertical="top"/>
      <protection locked="0"/>
    </xf>
    <xf numFmtId="0" fontId="6" fillId="0" borderId="9" xfId="0" applyFont="1" applyBorder="1" applyAlignment="1">
      <alignment vertical="center"/>
      <protection locked="0"/>
    </xf>
    <xf numFmtId="0" fontId="6" fillId="0" borderId="31" xfId="0" applyFont="1" applyBorder="1" applyAlignment="1">
      <alignment horizontal="left" vertical="top"/>
      <protection locked="0"/>
    </xf>
    <xf numFmtId="0" fontId="6" fillId="0" borderId="32" xfId="0" applyFont="1" applyBorder="1" applyAlignment="1">
      <alignment vertical="center"/>
      <protection locked="0"/>
    </xf>
    <xf numFmtId="0" fontId="6" fillId="0" borderId="33" xfId="0" applyFont="1" applyBorder="1" applyAlignment="1">
      <alignment vertical="center"/>
      <protection locked="0"/>
    </xf>
    <xf numFmtId="0" fontId="12" fillId="0" borderId="34" xfId="0" applyFont="1" applyBorder="1" applyAlignment="1">
      <alignment horizontal="center" vertical="center" wrapText="1"/>
      <protection locked="0"/>
    </xf>
    <xf numFmtId="0" fontId="3" fillId="0" borderId="9" xfId="0" applyFont="1" applyBorder="1" applyAlignment="1">
      <alignment horizontal="center" vertical="center"/>
      <protection locked="0"/>
    </xf>
    <xf numFmtId="0" fontId="4" fillId="35" borderId="9" xfId="0" applyFont="1" applyFill="1" applyBorder="1" applyAlignment="1">
      <alignment horizontal="center" vertical="center"/>
      <protection locked="0"/>
    </xf>
    <xf numFmtId="4" fontId="4" fillId="35" borderId="9" xfId="0" applyNumberFormat="1" applyFont="1" applyFill="1" applyBorder="1" applyAlignment="1">
      <alignment horizontal="right" vertical="center"/>
      <protection locked="0"/>
    </xf>
    <xf numFmtId="164" fontId="4" fillId="35" borderId="9" xfId="0" applyNumberFormat="1" applyFont="1" applyFill="1" applyBorder="1" applyAlignment="1">
      <alignment horizontal="right" vertical="center"/>
      <protection locked="0"/>
    </xf>
    <xf numFmtId="164" fontId="4" fillId="35" borderId="10" xfId="0" applyNumberFormat="1" applyFont="1" applyFill="1" applyBorder="1" applyAlignment="1">
      <alignment horizontal="right" vertical="center"/>
      <protection locked="0"/>
    </xf>
    <xf numFmtId="0" fontId="4" fillId="35" borderId="12" xfId="0" applyFont="1" applyFill="1" applyBorder="1" applyAlignment="1">
      <alignment horizontal="center" vertical="center"/>
      <protection locked="0"/>
    </xf>
    <xf numFmtId="164" fontId="12" fillId="35" borderId="10" xfId="0" applyNumberFormat="1" applyFont="1" applyFill="1" applyBorder="1" applyAlignment="1">
      <alignment horizontal="right" vertical="center"/>
      <protection locked="0"/>
    </xf>
    <xf numFmtId="164" fontId="3" fillId="34" borderId="8" xfId="0" applyNumberFormat="1" applyFont="1" applyFill="1" applyBorder="1" applyAlignment="1">
      <alignment horizontal="right" vertical="center"/>
      <protection locked="0"/>
    </xf>
    <xf numFmtId="164" fontId="3" fillId="34" borderId="11" xfId="0" applyNumberFormat="1" applyFont="1" applyFill="1" applyBorder="1" applyAlignment="1">
      <alignment horizontal="right" vertical="center"/>
      <protection locked="0"/>
    </xf>
    <xf numFmtId="14" fontId="3" fillId="0" borderId="9" xfId="192" applyNumberFormat="1" applyFont="1" applyBorder="1" applyAlignment="1" applyProtection="1">
      <alignment horizontal="center" vertical="top" wrapText="1"/>
      <protection locked="0"/>
    </xf>
    <xf numFmtId="0" fontId="15" fillId="34" borderId="12" xfId="0" applyFont="1" applyFill="1" applyBorder="1" applyAlignment="1">
      <alignment horizontal="center" vertical="center"/>
      <protection locked="0"/>
    </xf>
    <xf numFmtId="0" fontId="17" fillId="35" borderId="4" xfId="0" applyFont="1" applyFill="1" applyBorder="1" applyAlignment="1">
      <alignment horizontal="left" vertical="top" wrapText="1" indent="1"/>
      <protection locked="0"/>
    </xf>
    <xf numFmtId="4" fontId="4" fillId="36" borderId="9" xfId="0" applyNumberFormat="1" applyFont="1" applyFill="1" applyBorder="1" applyAlignment="1">
      <alignment horizontal="right" vertical="center"/>
      <protection locked="0"/>
    </xf>
    <xf numFmtId="164" fontId="4" fillId="36" borderId="9" xfId="0" applyNumberFormat="1" applyFont="1" applyFill="1" applyBorder="1" applyAlignment="1">
      <alignment horizontal="right" vertical="center"/>
      <protection locked="0"/>
    </xf>
    <xf numFmtId="0" fontId="12" fillId="35" borderId="4" xfId="0" applyFont="1" applyFill="1" applyBorder="1" applyAlignment="1">
      <alignment horizontal="right" vertical="center"/>
      <protection locked="0"/>
    </xf>
    <xf numFmtId="164" fontId="5" fillId="34" borderId="26" xfId="0" applyNumberFormat="1" applyFont="1" applyFill="1" applyBorder="1" applyAlignment="1">
      <alignment horizontal="right" vertical="center"/>
      <protection locked="0"/>
    </xf>
    <xf numFmtId="164" fontId="5" fillId="0" borderId="28" xfId="0" applyNumberFormat="1" applyFont="1" applyBorder="1" applyAlignment="1">
      <alignment horizontal="right" vertical="center"/>
      <protection locked="0"/>
    </xf>
    <xf numFmtId="0" fontId="5" fillId="0" borderId="5" xfId="0" applyFont="1" applyBorder="1" applyAlignment="1">
      <alignment horizontal="center" vertical="top"/>
      <protection locked="0"/>
    </xf>
    <xf numFmtId="164" fontId="5" fillId="2" borderId="11" xfId="0" applyNumberFormat="1" applyFont="1" applyFill="1" applyBorder="1" applyAlignment="1">
      <alignment horizontal="right" vertical="center"/>
      <protection locked="0"/>
    </xf>
    <xf numFmtId="164" fontId="12" fillId="35" borderId="10" xfId="0" applyNumberFormat="1" applyFont="1" applyFill="1" applyBorder="1" applyAlignment="1">
      <alignment horizontal="center" vertical="center"/>
      <protection locked="0"/>
    </xf>
    <xf numFmtId="0" fontId="44" fillId="35" borderId="4" xfId="0" applyFont="1" applyFill="1" applyBorder="1" applyAlignment="1">
      <alignment horizontal="left" vertical="top" wrapText="1" indent="1"/>
      <protection locked="0"/>
    </xf>
    <xf numFmtId="0" fontId="17" fillId="35" borderId="4" xfId="0" quotePrefix="1" applyFont="1" applyFill="1" applyBorder="1" applyAlignment="1">
      <alignment horizontal="left" vertical="top" wrapText="1" indent="2"/>
      <protection locked="0"/>
    </xf>
    <xf numFmtId="0" fontId="4" fillId="0" borderId="9" xfId="0" applyFont="1" applyBorder="1" applyAlignment="1">
      <alignment horizontal="center" vertical="center"/>
      <protection locked="0"/>
    </xf>
    <xf numFmtId="4" fontId="4" fillId="0" borderId="9" xfId="0" applyNumberFormat="1" applyFont="1" applyBorder="1" applyAlignment="1">
      <alignment horizontal="right" vertical="center"/>
      <protection locked="0"/>
    </xf>
    <xf numFmtId="164" fontId="4" fillId="0" borderId="9" xfId="0" applyNumberFormat="1" applyFont="1" applyBorder="1" applyAlignment="1">
      <alignment horizontal="right" vertical="center"/>
      <protection locked="0"/>
    </xf>
    <xf numFmtId="0" fontId="17" fillId="35" borderId="4" xfId="0" quotePrefix="1" applyFont="1" applyFill="1" applyBorder="1" applyAlignment="1">
      <alignment horizontal="left" vertical="top" wrapText="1" indent="1"/>
      <protection locked="0"/>
    </xf>
    <xf numFmtId="0" fontId="14" fillId="34" borderId="9" xfId="0" applyFont="1" applyFill="1" applyBorder="1" applyAlignment="1">
      <alignment horizontal="left" vertical="center"/>
      <protection locked="0"/>
    </xf>
    <xf numFmtId="0" fontId="0" fillId="0" borderId="29" xfId="0" applyBorder="1" applyAlignment="1">
      <protection locked="0"/>
    </xf>
    <xf numFmtId="0" fontId="41" fillId="37" borderId="35" xfId="0" applyFont="1" applyFill="1" applyBorder="1" applyAlignment="1" applyProtection="1">
      <alignment horizontal="left" vertical="top" wrapText="1"/>
    </xf>
    <xf numFmtId="0" fontId="0" fillId="0" borderId="37" xfId="0" applyBorder="1" applyAlignment="1" applyProtection="1"/>
    <xf numFmtId="0" fontId="0" fillId="0" borderId="38" xfId="0" applyBorder="1" applyAlignment="1" applyProtection="1"/>
    <xf numFmtId="0" fontId="15" fillId="34" borderId="10" xfId="0" applyFont="1" applyFill="1" applyBorder="1" applyAlignment="1">
      <alignment horizontal="left" vertical="center" wrapText="1" indent="1"/>
      <protection locked="0"/>
    </xf>
    <xf numFmtId="0" fontId="40" fillId="0" borderId="3" xfId="0" applyFont="1" applyBorder="1" applyAlignment="1">
      <protection locked="0"/>
    </xf>
    <xf numFmtId="0" fontId="40" fillId="0" borderId="11" xfId="0" applyFont="1" applyBorder="1" applyAlignment="1">
      <protection locked="0"/>
    </xf>
    <xf numFmtId="0" fontId="39" fillId="0" borderId="29" xfId="0" applyFont="1" applyBorder="1" applyAlignment="1">
      <alignment horizontal="center" vertical="center" wrapText="1"/>
      <protection locked="0"/>
    </xf>
    <xf numFmtId="0" fontId="0" fillId="0" borderId="3" xfId="0" applyBorder="1" applyAlignment="1">
      <protection locked="0"/>
    </xf>
    <xf numFmtId="0" fontId="13" fillId="34" borderId="9" xfId="0" applyFont="1" applyFill="1" applyBorder="1" applyAlignment="1">
      <alignment horizontal="center" vertical="center" wrapText="1"/>
      <protection locked="0"/>
    </xf>
    <xf numFmtId="0" fontId="38" fillId="0" borderId="36" xfId="0" applyFont="1" applyBorder="1" applyAlignment="1">
      <alignment horizontal="left" vertical="center"/>
      <protection locked="0"/>
    </xf>
    <xf numFmtId="0" fontId="0" fillId="0" borderId="1" xfId="0" applyBorder="1" applyAlignment="1">
      <protection locked="0"/>
    </xf>
    <xf numFmtId="0" fontId="0" fillId="0" borderId="2" xfId="0" applyBorder="1" applyAlignment="1">
      <protection locked="0"/>
    </xf>
    <xf numFmtId="0" fontId="3" fillId="34" borderId="6" xfId="0" applyFont="1" applyFill="1" applyBorder="1" applyAlignment="1">
      <alignment horizontal="left" vertical="center"/>
      <protection locked="0"/>
    </xf>
    <xf numFmtId="0" fontId="0" fillId="0" borderId="7" xfId="0" applyBorder="1" applyAlignment="1">
      <protection locked="0"/>
    </xf>
    <xf numFmtId="0" fontId="5" fillId="34" borderId="24" xfId="0" applyFont="1" applyFill="1" applyBorder="1" applyAlignment="1">
      <alignment horizontal="left" vertical="center"/>
      <protection locked="0"/>
    </xf>
    <xf numFmtId="0" fontId="0" fillId="0" borderId="25" xfId="0" applyBorder="1" applyAlignment="1">
      <protection locked="0"/>
    </xf>
    <xf numFmtId="0" fontId="3" fillId="0" borderId="9" xfId="0" applyFont="1" applyBorder="1" applyAlignment="1">
      <alignment horizontal="left" vertical="center"/>
      <protection locked="0"/>
    </xf>
    <xf numFmtId="0" fontId="5" fillId="2" borderId="27" xfId="0" applyFont="1" applyFill="1" applyBorder="1" applyAlignment="1">
      <alignment horizontal="left" vertical="center"/>
      <protection locked="0"/>
    </xf>
    <xf numFmtId="0" fontId="15" fillId="34" borderId="10" xfId="0" applyFont="1" applyFill="1" applyBorder="1" applyAlignment="1">
      <alignment horizontal="left" vertical="center" wrapText="1"/>
      <protection locked="0"/>
    </xf>
    <xf numFmtId="0" fontId="14" fillId="0" borderId="3" xfId="0" applyFont="1" applyBorder="1" applyAlignment="1">
      <alignment horizontal="center" vertical="center"/>
      <protection locked="0"/>
    </xf>
    <xf numFmtId="0" fontId="37" fillId="34" borderId="9" xfId="0" applyFont="1" applyFill="1" applyBorder="1" applyAlignment="1">
      <alignment horizontal="center" vertical="center"/>
      <protection locked="0"/>
    </xf>
    <xf numFmtId="0" fontId="3" fillId="34" borderId="27" xfId="0" applyFont="1" applyFill="1" applyBorder="1" applyAlignment="1">
      <alignment horizontal="left" vertical="center"/>
      <protection locked="0"/>
    </xf>
    <xf numFmtId="0" fontId="16" fillId="0" borderId="30" xfId="0" applyFont="1" applyBorder="1" applyAlignment="1">
      <alignment horizontal="center" vertical="center"/>
      <protection locked="0"/>
    </xf>
    <xf numFmtId="0" fontId="0" fillId="0" borderId="30" xfId="0" applyBorder="1" applyAlignment="1">
      <protection locked="0"/>
    </xf>
    <xf numFmtId="0" fontId="5" fillId="0" borderId="27" xfId="0" applyFont="1" applyBorder="1" applyAlignment="1">
      <alignment horizontal="left" vertical="center"/>
      <protection locked="0"/>
    </xf>
    <xf numFmtId="0" fontId="13" fillId="35" borderId="0" xfId="0" applyFont="1" applyFill="1" applyAlignment="1">
      <alignment horizontal="center" vertical="center" wrapText="1"/>
      <protection locked="0"/>
    </xf>
    <xf numFmtId="0" fontId="0" fillId="0" borderId="0" xfId="0" applyAlignment="1">
      <protection locked="0"/>
    </xf>
  </cellXfs>
  <cellStyles count="1028">
    <cellStyle name="20 % - Accent1 2" xfId="75" xr:uid="{00000000-0005-0000-0000-00004B000000}"/>
    <cellStyle name="20 % - Accent1 2 2" xfId="76" xr:uid="{00000000-0005-0000-0000-00004C000000}"/>
    <cellStyle name="20 % - Accent1 2 2 2" xfId="264" xr:uid="{00000000-0005-0000-0000-000008010000}"/>
    <cellStyle name="20 % - Accent1 2 2 2 2" xfId="759" xr:uid="{AC91C3E5-3887-417F-9A88-23EC2DEB9DDC}"/>
    <cellStyle name="20 % - Accent1 2 2 3" xfId="443" xr:uid="{00000000-0005-0000-0000-0000DC010000}"/>
    <cellStyle name="20 % - Accent1 2 2 3 2" xfId="971" xr:uid="{09873480-F38B-4891-AB29-226C25AEA9BA}"/>
    <cellStyle name="20 % - Accent1 2 2 4" xfId="572" xr:uid="{08C4C021-8A9F-4DE0-905F-192A1C6E177E}"/>
    <cellStyle name="20 % - Accent1 2 3" xfId="263" xr:uid="{00000000-0005-0000-0000-000007010000}"/>
    <cellStyle name="20 % - Accent1 2 3 2" xfId="758" xr:uid="{FA8E031C-98B9-4D63-A69C-E7DF3CC8E0BC}"/>
    <cellStyle name="20 % - Accent1 2 4" xfId="372" xr:uid="{00000000-0005-0000-0000-000095010000}"/>
    <cellStyle name="20 % - Accent1 2 4 2" xfId="900" xr:uid="{F1E97949-8D2F-432D-BE9B-103156BCC0AB}"/>
    <cellStyle name="20 % - Accent1 2 5" xfId="571" xr:uid="{033F86F5-6885-4CF5-BE25-8E058503D52A}"/>
    <cellStyle name="20 % - Accent1 3" xfId="77" xr:uid="{00000000-0005-0000-0000-00004D000000}"/>
    <cellStyle name="20 % - Accent1 3 2" xfId="265" xr:uid="{00000000-0005-0000-0000-000009010000}"/>
    <cellStyle name="20 % - Accent1 3 2 2" xfId="760" xr:uid="{60DA3FF7-35DF-4BFD-8798-495703AF892B}"/>
    <cellStyle name="20 % - Accent1 3 3" xfId="428" xr:uid="{00000000-0005-0000-0000-0000CD010000}"/>
    <cellStyle name="20 % - Accent1 3 3 2" xfId="956" xr:uid="{15CAC54B-A0E6-42EC-85A1-47A63284C83F}"/>
    <cellStyle name="20 % - Accent1 3 4" xfId="573" xr:uid="{D92E3A38-EEE1-4621-BE34-5AEC5B3DB7D4}"/>
    <cellStyle name="20 % - Accent1 4" xfId="848" xr:uid="{CAC4D8B5-9B15-4709-B71A-EB9D86028805}"/>
    <cellStyle name="20 % - Accent2 2" xfId="78" xr:uid="{00000000-0005-0000-0000-00004E000000}"/>
    <cellStyle name="20 % - Accent2 2 2" xfId="79" xr:uid="{00000000-0005-0000-0000-00004F000000}"/>
    <cellStyle name="20 % - Accent2 2 2 2" xfId="267" xr:uid="{00000000-0005-0000-0000-00000B010000}"/>
    <cellStyle name="20 % - Accent2 2 2 2 2" xfId="762" xr:uid="{1E4A36B8-EC08-48F7-9DB4-5B4780E8DBEF}"/>
    <cellStyle name="20 % - Accent2 2 2 3" xfId="445" xr:uid="{00000000-0005-0000-0000-0000DE010000}"/>
    <cellStyle name="20 % - Accent2 2 2 3 2" xfId="973" xr:uid="{70E47F8B-BB20-4A18-A7FC-FD4806280F45}"/>
    <cellStyle name="20 % - Accent2 2 2 4" xfId="575" xr:uid="{FB085861-997F-4830-9BB7-CEA1D03F2714}"/>
    <cellStyle name="20 % - Accent2 2 3" xfId="266" xr:uid="{00000000-0005-0000-0000-00000A010000}"/>
    <cellStyle name="20 % - Accent2 2 3 2" xfId="761" xr:uid="{0A77EC6C-04BE-4EF4-A497-ECDBF917FD40}"/>
    <cellStyle name="20 % - Accent2 2 4" xfId="374" xr:uid="{00000000-0005-0000-0000-000097010000}"/>
    <cellStyle name="20 % - Accent2 2 4 2" xfId="902" xr:uid="{C399B7BC-B666-4633-84DB-031BA294589C}"/>
    <cellStyle name="20 % - Accent2 2 5" xfId="574" xr:uid="{E9F19511-F39D-41D6-85E5-6BC7F0EE2C74}"/>
    <cellStyle name="20 % - Accent2 3" xfId="80" xr:uid="{00000000-0005-0000-0000-000050000000}"/>
    <cellStyle name="20 % - Accent2 3 2" xfId="268" xr:uid="{00000000-0005-0000-0000-00000C010000}"/>
    <cellStyle name="20 % - Accent2 3 2 2" xfId="763" xr:uid="{7F55662B-AFE3-4B21-9F91-4EB588C7AEAC}"/>
    <cellStyle name="20 % - Accent2 3 3" xfId="430" xr:uid="{00000000-0005-0000-0000-0000CF010000}"/>
    <cellStyle name="20 % - Accent2 3 3 2" xfId="958" xr:uid="{1F6C5AD9-4AFC-4DF7-844F-7BAC5961EEF5}"/>
    <cellStyle name="20 % - Accent2 3 4" xfId="576" xr:uid="{C6238EBD-11E7-4196-9EA8-DC69BB4ED081}"/>
    <cellStyle name="20 % - Accent2 4" xfId="851" xr:uid="{4BCAD08F-A0E8-4824-91B1-602936C8F252}"/>
    <cellStyle name="20 % - Accent3 2" xfId="81" xr:uid="{00000000-0005-0000-0000-000051000000}"/>
    <cellStyle name="20 % - Accent3 2 2" xfId="82" xr:uid="{00000000-0005-0000-0000-000052000000}"/>
    <cellStyle name="20 % - Accent3 2 2 2" xfId="270" xr:uid="{00000000-0005-0000-0000-00000E010000}"/>
    <cellStyle name="20 % - Accent3 2 2 2 2" xfId="765" xr:uid="{E426C375-06BB-4BBE-AE23-FF1B9E553444}"/>
    <cellStyle name="20 % - Accent3 2 2 3" xfId="447" xr:uid="{00000000-0005-0000-0000-0000E0010000}"/>
    <cellStyle name="20 % - Accent3 2 2 3 2" xfId="975" xr:uid="{77E7EFA3-111C-4830-BB4A-BB8F2B5B0551}"/>
    <cellStyle name="20 % - Accent3 2 2 4" xfId="578" xr:uid="{70086829-0E1E-43C4-91D4-F95E76F3D5AF}"/>
    <cellStyle name="20 % - Accent3 2 3" xfId="269" xr:uid="{00000000-0005-0000-0000-00000D010000}"/>
    <cellStyle name="20 % - Accent3 2 3 2" xfId="764" xr:uid="{543DED35-7923-4AF1-9C2C-60AF632A4930}"/>
    <cellStyle name="20 % - Accent3 2 4" xfId="376" xr:uid="{00000000-0005-0000-0000-000099010000}"/>
    <cellStyle name="20 % - Accent3 2 4 2" xfId="904" xr:uid="{CF579B5F-B227-4324-8855-15B2E9FFCF0A}"/>
    <cellStyle name="20 % - Accent3 2 5" xfId="577" xr:uid="{A30EED63-D664-4BAF-9985-C65CF186B9E3}"/>
    <cellStyle name="20 % - Accent3 3" xfId="83" xr:uid="{00000000-0005-0000-0000-000053000000}"/>
    <cellStyle name="20 % - Accent3 3 2" xfId="271" xr:uid="{00000000-0005-0000-0000-00000F010000}"/>
    <cellStyle name="20 % - Accent3 3 2 2" xfId="766" xr:uid="{3075E98D-DDE9-4BAB-8BAF-91C86245B728}"/>
    <cellStyle name="20 % - Accent3 3 3" xfId="432" xr:uid="{00000000-0005-0000-0000-0000D1010000}"/>
    <cellStyle name="20 % - Accent3 3 3 2" xfId="960" xr:uid="{47791563-2653-468C-889F-89AB67705EA3}"/>
    <cellStyle name="20 % - Accent3 3 4" xfId="579" xr:uid="{9D673AD3-B173-45B9-A274-D915B084F9D5}"/>
    <cellStyle name="20 % - Accent3 4" xfId="854" xr:uid="{2C4B002D-87A6-4B57-AE51-494F38CE9008}"/>
    <cellStyle name="20 % - Accent4 2" xfId="84" xr:uid="{00000000-0005-0000-0000-000054000000}"/>
    <cellStyle name="20 % - Accent4 2 2" xfId="85" xr:uid="{00000000-0005-0000-0000-000055000000}"/>
    <cellStyle name="20 % - Accent4 2 2 2" xfId="273" xr:uid="{00000000-0005-0000-0000-000011010000}"/>
    <cellStyle name="20 % - Accent4 2 2 2 2" xfId="768" xr:uid="{76A26D5E-6A72-48A0-83E2-EDF5EEF3161F}"/>
    <cellStyle name="20 % - Accent4 2 2 3" xfId="449" xr:uid="{00000000-0005-0000-0000-0000E2010000}"/>
    <cellStyle name="20 % - Accent4 2 2 3 2" xfId="977" xr:uid="{6650F160-9FFE-417D-BCC8-43130833D49E}"/>
    <cellStyle name="20 % - Accent4 2 2 4" xfId="581" xr:uid="{F16C188C-4417-4181-A421-C99D3A341EF2}"/>
    <cellStyle name="20 % - Accent4 2 3" xfId="272" xr:uid="{00000000-0005-0000-0000-000010010000}"/>
    <cellStyle name="20 % - Accent4 2 3 2" xfId="767" xr:uid="{D9470367-94E6-4C2D-8D42-33259DD8244C}"/>
    <cellStyle name="20 % - Accent4 2 4" xfId="378" xr:uid="{00000000-0005-0000-0000-00009B010000}"/>
    <cellStyle name="20 % - Accent4 2 4 2" xfId="906" xr:uid="{E4539CC8-3250-4219-8C95-3CD39C7423D0}"/>
    <cellStyle name="20 % - Accent4 2 5" xfId="580" xr:uid="{F474B17E-8507-40FC-BE4A-F0AC86F73F4E}"/>
    <cellStyle name="20 % - Accent4 3" xfId="86" xr:uid="{00000000-0005-0000-0000-000056000000}"/>
    <cellStyle name="20 % - Accent4 3 2" xfId="274" xr:uid="{00000000-0005-0000-0000-000012010000}"/>
    <cellStyle name="20 % - Accent4 3 2 2" xfId="769" xr:uid="{E839AA8A-EE98-4028-BB39-08B6A0697B34}"/>
    <cellStyle name="20 % - Accent4 3 3" xfId="434" xr:uid="{00000000-0005-0000-0000-0000D3010000}"/>
    <cellStyle name="20 % - Accent4 3 3 2" xfId="962" xr:uid="{459F00A1-B325-4180-BBF5-2ABBAF300611}"/>
    <cellStyle name="20 % - Accent4 3 4" xfId="582" xr:uid="{B20084F5-2F1B-400E-8C23-65797A1240C6}"/>
    <cellStyle name="20 % - Accent4 4" xfId="857" xr:uid="{0AABCEED-446E-425B-86E7-0EA71D0EF98A}"/>
    <cellStyle name="20 % - Accent5 2" xfId="87" xr:uid="{00000000-0005-0000-0000-000057000000}"/>
    <cellStyle name="20 % - Accent5 2 2" xfId="88" xr:uid="{00000000-0005-0000-0000-000058000000}"/>
    <cellStyle name="20 % - Accent5 2 2 2" xfId="276" xr:uid="{00000000-0005-0000-0000-000014010000}"/>
    <cellStyle name="20 % - Accent5 2 2 2 2" xfId="771" xr:uid="{B3392725-21B8-4445-9732-82FCD91636D3}"/>
    <cellStyle name="20 % - Accent5 2 2 3" xfId="451" xr:uid="{00000000-0005-0000-0000-0000E4010000}"/>
    <cellStyle name="20 % - Accent5 2 2 3 2" xfId="979" xr:uid="{DC3F695D-CB62-4A18-AB66-8194868232A5}"/>
    <cellStyle name="20 % - Accent5 2 2 4" xfId="584" xr:uid="{5892EACB-C92A-4952-AEF8-AE7079F3106B}"/>
    <cellStyle name="20 % - Accent5 2 3" xfId="275" xr:uid="{00000000-0005-0000-0000-000013010000}"/>
    <cellStyle name="20 % - Accent5 2 3 2" xfId="770" xr:uid="{DA2D2EE5-D9EA-401F-ACB0-FA17CE741F32}"/>
    <cellStyle name="20 % - Accent5 2 4" xfId="380" xr:uid="{00000000-0005-0000-0000-00009D010000}"/>
    <cellStyle name="20 % - Accent5 2 4 2" xfId="908" xr:uid="{4C3A01A2-7296-40F3-B441-E56ED7991873}"/>
    <cellStyle name="20 % - Accent5 2 5" xfId="583" xr:uid="{F0BF7D90-27DF-4AF0-A61A-CB6B3F926DA6}"/>
    <cellStyle name="20 % - Accent5 3" xfId="89" xr:uid="{00000000-0005-0000-0000-000059000000}"/>
    <cellStyle name="20 % - Accent5 3 2" xfId="277" xr:uid="{00000000-0005-0000-0000-000015010000}"/>
    <cellStyle name="20 % - Accent5 3 2 2" xfId="772" xr:uid="{DC3FD9F1-811E-4A5D-A5F4-455679661715}"/>
    <cellStyle name="20 % - Accent5 3 3" xfId="436" xr:uid="{00000000-0005-0000-0000-0000D5010000}"/>
    <cellStyle name="20 % - Accent5 3 3 2" xfId="964" xr:uid="{43AA451C-BBEA-412E-BD60-357772E0B3B0}"/>
    <cellStyle name="20 % - Accent5 3 4" xfId="585" xr:uid="{18D7E8B6-CC6A-46C8-8581-B0BD92FB7750}"/>
    <cellStyle name="20 % - Accent5 4" xfId="860" xr:uid="{1F90A375-AC85-49C4-BBA7-649F98801029}"/>
    <cellStyle name="20 % - Accent6 2" xfId="90" xr:uid="{00000000-0005-0000-0000-00005A000000}"/>
    <cellStyle name="20 % - Accent6 2 2" xfId="91" xr:uid="{00000000-0005-0000-0000-00005B000000}"/>
    <cellStyle name="20 % - Accent6 2 2 2" xfId="279" xr:uid="{00000000-0005-0000-0000-000017010000}"/>
    <cellStyle name="20 % - Accent6 2 2 2 2" xfId="774" xr:uid="{E7491D7A-DE37-4651-9219-5DBF113EB730}"/>
    <cellStyle name="20 % - Accent6 2 2 3" xfId="453" xr:uid="{00000000-0005-0000-0000-0000E6010000}"/>
    <cellStyle name="20 % - Accent6 2 2 3 2" xfId="981" xr:uid="{88061A57-F408-4F8F-9DB0-1CF207234C0D}"/>
    <cellStyle name="20 % - Accent6 2 2 4" xfId="587" xr:uid="{96F4633F-6713-4F4F-8FA2-8369C220037A}"/>
    <cellStyle name="20 % - Accent6 2 3" xfId="278" xr:uid="{00000000-0005-0000-0000-000016010000}"/>
    <cellStyle name="20 % - Accent6 2 3 2" xfId="773" xr:uid="{A7D34AE7-6BE7-4A21-9AA9-6DBB4C65802E}"/>
    <cellStyle name="20 % - Accent6 2 4" xfId="382" xr:uid="{00000000-0005-0000-0000-00009F010000}"/>
    <cellStyle name="20 % - Accent6 2 4 2" xfId="910" xr:uid="{31AEBA0B-3FD3-4D51-80A7-16563ECE9CA5}"/>
    <cellStyle name="20 % - Accent6 2 5" xfId="586" xr:uid="{AC4F3964-9C14-4BB0-9189-FF38BCD9976E}"/>
    <cellStyle name="20 % - Accent6 3" xfId="92" xr:uid="{00000000-0005-0000-0000-00005C000000}"/>
    <cellStyle name="20 % - Accent6 3 2" xfId="280" xr:uid="{00000000-0005-0000-0000-000018010000}"/>
    <cellStyle name="20 % - Accent6 3 2 2" xfId="775" xr:uid="{590A604E-CB82-4B9C-A0D0-F829E3DBDEA8}"/>
    <cellStyle name="20 % - Accent6 3 3" xfId="438" xr:uid="{00000000-0005-0000-0000-0000D7010000}"/>
    <cellStyle name="20 % - Accent6 3 3 2" xfId="966" xr:uid="{06C14552-8049-4B56-BD88-444B5D0F990C}"/>
    <cellStyle name="20 % - Accent6 3 4" xfId="588" xr:uid="{E8B3DF29-E5FD-4C67-B5BC-E13A3224ED75}"/>
    <cellStyle name="20 % - Accent6 4" xfId="863" xr:uid="{A1BECA8A-0989-437D-8E43-A0959914F94F}"/>
    <cellStyle name="40 % - Accent1 2" xfId="93" xr:uid="{00000000-0005-0000-0000-00005D000000}"/>
    <cellStyle name="40 % - Accent1 2 2" xfId="94" xr:uid="{00000000-0005-0000-0000-00005E000000}"/>
    <cellStyle name="40 % - Accent1 2 2 2" xfId="282" xr:uid="{00000000-0005-0000-0000-00001A010000}"/>
    <cellStyle name="40 % - Accent1 2 2 2 2" xfId="777" xr:uid="{2C8FD5BF-E736-4DF4-A77B-1A133EBEE8C5}"/>
    <cellStyle name="40 % - Accent1 2 2 3" xfId="444" xr:uid="{00000000-0005-0000-0000-0000DD010000}"/>
    <cellStyle name="40 % - Accent1 2 2 3 2" xfId="972" xr:uid="{BB97CDF0-9E6D-4F7F-9F19-36D371704EE9}"/>
    <cellStyle name="40 % - Accent1 2 2 4" xfId="590" xr:uid="{9348AE0F-6A59-4F23-A9D2-BF6C182A0CA1}"/>
    <cellStyle name="40 % - Accent1 2 3" xfId="281" xr:uid="{00000000-0005-0000-0000-000019010000}"/>
    <cellStyle name="40 % - Accent1 2 3 2" xfId="776" xr:uid="{B24F1287-D9AC-4089-86F9-F0151BFBA196}"/>
    <cellStyle name="40 % - Accent1 2 4" xfId="373" xr:uid="{00000000-0005-0000-0000-000096010000}"/>
    <cellStyle name="40 % - Accent1 2 4 2" xfId="901" xr:uid="{9560F0B5-0A41-4025-9D3B-A4FD8116FDB2}"/>
    <cellStyle name="40 % - Accent1 2 5" xfId="589" xr:uid="{9A65188A-B86A-4A33-A040-774FF95C2E25}"/>
    <cellStyle name="40 % - Accent1 3" xfId="95" xr:uid="{00000000-0005-0000-0000-00005F000000}"/>
    <cellStyle name="40 % - Accent1 3 2" xfId="283" xr:uid="{00000000-0005-0000-0000-00001B010000}"/>
    <cellStyle name="40 % - Accent1 3 2 2" xfId="778" xr:uid="{47701221-7ED0-433A-B50B-6867BAF1505B}"/>
    <cellStyle name="40 % - Accent1 3 3" xfId="429" xr:uid="{00000000-0005-0000-0000-0000CE010000}"/>
    <cellStyle name="40 % - Accent1 3 3 2" xfId="957" xr:uid="{A48CB2F9-CEED-4255-855D-66BA56514C32}"/>
    <cellStyle name="40 % - Accent1 3 4" xfId="591" xr:uid="{54B703F8-794B-4C4E-81C9-90D2E68C13B7}"/>
    <cellStyle name="40 % - Accent1 4" xfId="849" xr:uid="{5C89F8B3-A444-4A43-89BE-39F1E4490AD5}"/>
    <cellStyle name="40 % - Accent2 2" xfId="96" xr:uid="{00000000-0005-0000-0000-000060000000}"/>
    <cellStyle name="40 % - Accent2 2 2" xfId="97" xr:uid="{00000000-0005-0000-0000-000061000000}"/>
    <cellStyle name="40 % - Accent2 2 2 2" xfId="285" xr:uid="{00000000-0005-0000-0000-00001D010000}"/>
    <cellStyle name="40 % - Accent2 2 2 2 2" xfId="780" xr:uid="{FD5A5C88-A934-41CB-B108-B2A1AC8E90D8}"/>
    <cellStyle name="40 % - Accent2 2 2 3" xfId="446" xr:uid="{00000000-0005-0000-0000-0000DF010000}"/>
    <cellStyle name="40 % - Accent2 2 2 3 2" xfId="974" xr:uid="{8D707EC9-E2BC-439B-8E1D-7C947CAD8A8D}"/>
    <cellStyle name="40 % - Accent2 2 2 4" xfId="593" xr:uid="{4ED4A422-1B6C-46A7-84EC-4A9B82A2EB47}"/>
    <cellStyle name="40 % - Accent2 2 3" xfId="284" xr:uid="{00000000-0005-0000-0000-00001C010000}"/>
    <cellStyle name="40 % - Accent2 2 3 2" xfId="779" xr:uid="{BB1973C0-FD49-410E-9F55-86E3CCF7B777}"/>
    <cellStyle name="40 % - Accent2 2 4" xfId="375" xr:uid="{00000000-0005-0000-0000-000098010000}"/>
    <cellStyle name="40 % - Accent2 2 4 2" xfId="903" xr:uid="{F63ADCE1-6D80-4010-8350-9A0BF1DDF0D0}"/>
    <cellStyle name="40 % - Accent2 2 5" xfId="592" xr:uid="{3D12D62E-C075-45E3-883A-C98D6E57398D}"/>
    <cellStyle name="40 % - Accent2 3" xfId="98" xr:uid="{00000000-0005-0000-0000-000062000000}"/>
    <cellStyle name="40 % - Accent2 3 2" xfId="286" xr:uid="{00000000-0005-0000-0000-00001E010000}"/>
    <cellStyle name="40 % - Accent2 3 2 2" xfId="781" xr:uid="{59775330-06AA-4800-BF15-AC8118B6BB59}"/>
    <cellStyle name="40 % - Accent2 3 3" xfId="431" xr:uid="{00000000-0005-0000-0000-0000D0010000}"/>
    <cellStyle name="40 % - Accent2 3 3 2" xfId="959" xr:uid="{48D06A54-B4B9-4A31-9F43-DCFE4D229593}"/>
    <cellStyle name="40 % - Accent2 3 4" xfId="594" xr:uid="{E1634BC6-31D2-447E-927E-D58D6D9DED79}"/>
    <cellStyle name="40 % - Accent2 4" xfId="852" xr:uid="{FE16FF05-D945-4D57-A111-12F80E240F38}"/>
    <cellStyle name="40 % - Accent3 2" xfId="99" xr:uid="{00000000-0005-0000-0000-000063000000}"/>
    <cellStyle name="40 % - Accent3 2 2" xfId="100" xr:uid="{00000000-0005-0000-0000-000064000000}"/>
    <cellStyle name="40 % - Accent3 2 2 2" xfId="288" xr:uid="{00000000-0005-0000-0000-000020010000}"/>
    <cellStyle name="40 % - Accent3 2 2 2 2" xfId="783" xr:uid="{19A0C314-A0EE-46E7-9166-73BA05C4E39B}"/>
    <cellStyle name="40 % - Accent3 2 2 3" xfId="448" xr:uid="{00000000-0005-0000-0000-0000E1010000}"/>
    <cellStyle name="40 % - Accent3 2 2 3 2" xfId="976" xr:uid="{3C125CA9-73EE-47C1-9DB5-F68E2EEB9320}"/>
    <cellStyle name="40 % - Accent3 2 2 4" xfId="596" xr:uid="{2A16F29D-A512-4C44-BFD9-6EAC93F04F52}"/>
    <cellStyle name="40 % - Accent3 2 3" xfId="287" xr:uid="{00000000-0005-0000-0000-00001F010000}"/>
    <cellStyle name="40 % - Accent3 2 3 2" xfId="782" xr:uid="{AC52DA64-7B3F-4A0E-9960-8718F8640C09}"/>
    <cellStyle name="40 % - Accent3 2 4" xfId="377" xr:uid="{00000000-0005-0000-0000-00009A010000}"/>
    <cellStyle name="40 % - Accent3 2 4 2" xfId="905" xr:uid="{A9D0C8B0-535E-4BA9-A0DD-0EE2D587FCA5}"/>
    <cellStyle name="40 % - Accent3 2 5" xfId="595" xr:uid="{E7700D0F-03D0-42C2-9170-9975AEA4BEC1}"/>
    <cellStyle name="40 % - Accent3 3" xfId="101" xr:uid="{00000000-0005-0000-0000-000065000000}"/>
    <cellStyle name="40 % - Accent3 3 2" xfId="289" xr:uid="{00000000-0005-0000-0000-000021010000}"/>
    <cellStyle name="40 % - Accent3 3 2 2" xfId="784" xr:uid="{18A1D3EC-FF46-43F6-80BB-C441317CD04C}"/>
    <cellStyle name="40 % - Accent3 3 3" xfId="433" xr:uid="{00000000-0005-0000-0000-0000D2010000}"/>
    <cellStyle name="40 % - Accent3 3 3 2" xfId="961" xr:uid="{04482434-7B37-4746-AF66-F2883BAE8434}"/>
    <cellStyle name="40 % - Accent3 3 4" xfId="597" xr:uid="{D831CC72-79AB-45FA-9030-D179570E93D8}"/>
    <cellStyle name="40 % - Accent3 4" xfId="855" xr:uid="{DC7204FE-D8DE-4A9F-8A7A-8081F1491B31}"/>
    <cellStyle name="40 % - Accent4 2" xfId="102" xr:uid="{00000000-0005-0000-0000-000066000000}"/>
    <cellStyle name="40 % - Accent4 2 2" xfId="103" xr:uid="{00000000-0005-0000-0000-000067000000}"/>
    <cellStyle name="40 % - Accent4 2 2 2" xfId="291" xr:uid="{00000000-0005-0000-0000-000023010000}"/>
    <cellStyle name="40 % - Accent4 2 2 2 2" xfId="786" xr:uid="{86E861BE-0296-4419-8991-1B7E8A9CCF54}"/>
    <cellStyle name="40 % - Accent4 2 2 3" xfId="450" xr:uid="{00000000-0005-0000-0000-0000E3010000}"/>
    <cellStyle name="40 % - Accent4 2 2 3 2" xfId="978" xr:uid="{8E4CFD93-9EF1-46E0-A6A8-6A4DBAC64CCE}"/>
    <cellStyle name="40 % - Accent4 2 2 4" xfId="599" xr:uid="{6CDEE84C-5BC5-41B2-B6D0-782295D1880B}"/>
    <cellStyle name="40 % - Accent4 2 3" xfId="290" xr:uid="{00000000-0005-0000-0000-000022010000}"/>
    <cellStyle name="40 % - Accent4 2 3 2" xfId="785" xr:uid="{B55973BD-7A8D-432C-A65F-D3D15DCBF297}"/>
    <cellStyle name="40 % - Accent4 2 4" xfId="379" xr:uid="{00000000-0005-0000-0000-00009C010000}"/>
    <cellStyle name="40 % - Accent4 2 4 2" xfId="907" xr:uid="{751A4698-AE3D-476E-B049-7F74A8A993CC}"/>
    <cellStyle name="40 % - Accent4 2 5" xfId="598" xr:uid="{67885B12-01D5-4AE1-9CAF-5450E7CB3CA5}"/>
    <cellStyle name="40 % - Accent4 3" xfId="104" xr:uid="{00000000-0005-0000-0000-000068000000}"/>
    <cellStyle name="40 % - Accent4 3 2" xfId="292" xr:uid="{00000000-0005-0000-0000-000024010000}"/>
    <cellStyle name="40 % - Accent4 3 2 2" xfId="787" xr:uid="{4599EE33-AB23-47D0-BD6D-F6E3024BDE5F}"/>
    <cellStyle name="40 % - Accent4 3 3" xfId="435" xr:uid="{00000000-0005-0000-0000-0000D4010000}"/>
    <cellStyle name="40 % - Accent4 3 3 2" xfId="963" xr:uid="{B65C8F03-3245-4C8A-A51C-FBBA39BACB96}"/>
    <cellStyle name="40 % - Accent4 3 4" xfId="600" xr:uid="{C45E82B9-42AF-4FE2-88BF-B85F6BCD9780}"/>
    <cellStyle name="40 % - Accent4 4" xfId="858" xr:uid="{86617E2C-01E9-47CD-B9DE-DB58A349FD9E}"/>
    <cellStyle name="40 % - Accent5 2" xfId="105" xr:uid="{00000000-0005-0000-0000-000069000000}"/>
    <cellStyle name="40 % - Accent5 2 2" xfId="106" xr:uid="{00000000-0005-0000-0000-00006A000000}"/>
    <cellStyle name="40 % - Accent5 2 2 2" xfId="294" xr:uid="{00000000-0005-0000-0000-000026010000}"/>
    <cellStyle name="40 % - Accent5 2 2 2 2" xfId="789" xr:uid="{D806EC02-A104-4910-B051-B8909B61FED6}"/>
    <cellStyle name="40 % - Accent5 2 2 3" xfId="452" xr:uid="{00000000-0005-0000-0000-0000E5010000}"/>
    <cellStyle name="40 % - Accent5 2 2 3 2" xfId="980" xr:uid="{4B70187C-7A2A-4115-8726-CD5FE3D4893C}"/>
    <cellStyle name="40 % - Accent5 2 2 4" xfId="602" xr:uid="{8A2D03F8-4997-4765-AE0B-E402F7C1007F}"/>
    <cellStyle name="40 % - Accent5 2 3" xfId="293" xr:uid="{00000000-0005-0000-0000-000025010000}"/>
    <cellStyle name="40 % - Accent5 2 3 2" xfId="788" xr:uid="{FE0EF04A-D2E7-4C2D-A0E2-4302B8E05E98}"/>
    <cellStyle name="40 % - Accent5 2 4" xfId="381" xr:uid="{00000000-0005-0000-0000-00009E010000}"/>
    <cellStyle name="40 % - Accent5 2 4 2" xfId="909" xr:uid="{DC868FC0-6BC9-405B-A855-3CF85955EA8E}"/>
    <cellStyle name="40 % - Accent5 2 5" xfId="601" xr:uid="{492BC609-CAFD-4F23-931E-6D7C860CB1C6}"/>
    <cellStyle name="40 % - Accent5 3" xfId="107" xr:uid="{00000000-0005-0000-0000-00006B000000}"/>
    <cellStyle name="40 % - Accent5 3 2" xfId="295" xr:uid="{00000000-0005-0000-0000-000027010000}"/>
    <cellStyle name="40 % - Accent5 3 2 2" xfId="790" xr:uid="{72A44450-C7E8-4149-ACAE-36A01C17E001}"/>
    <cellStyle name="40 % - Accent5 3 3" xfId="437" xr:uid="{00000000-0005-0000-0000-0000D6010000}"/>
    <cellStyle name="40 % - Accent5 3 3 2" xfId="965" xr:uid="{A60B1228-0405-4040-AA70-0EF9BABECDDB}"/>
    <cellStyle name="40 % - Accent5 3 4" xfId="603" xr:uid="{2C0D386C-3379-4D56-A328-47DD258A6C68}"/>
    <cellStyle name="40 % - Accent5 4" xfId="861" xr:uid="{6ACE98EF-9A4A-4BE7-875F-86D08E398801}"/>
    <cellStyle name="40 % - Accent6 2" xfId="108" xr:uid="{00000000-0005-0000-0000-00006C000000}"/>
    <cellStyle name="40 % - Accent6 2 2" xfId="109" xr:uid="{00000000-0005-0000-0000-00006D000000}"/>
    <cellStyle name="40 % - Accent6 2 2 2" xfId="297" xr:uid="{00000000-0005-0000-0000-000029010000}"/>
    <cellStyle name="40 % - Accent6 2 2 2 2" xfId="792" xr:uid="{26BCDFA5-6717-454F-B631-02226F796AAA}"/>
    <cellStyle name="40 % - Accent6 2 2 3" xfId="454" xr:uid="{00000000-0005-0000-0000-0000E7010000}"/>
    <cellStyle name="40 % - Accent6 2 2 3 2" xfId="982" xr:uid="{9313A395-8580-4D9C-8AFF-0318BC7B6050}"/>
    <cellStyle name="40 % - Accent6 2 2 4" xfId="605" xr:uid="{51ABFB02-63C8-4ED5-BAF0-A65315C52B5E}"/>
    <cellStyle name="40 % - Accent6 2 3" xfId="296" xr:uid="{00000000-0005-0000-0000-000028010000}"/>
    <cellStyle name="40 % - Accent6 2 3 2" xfId="791" xr:uid="{2C5247DD-159B-44D4-9487-92C5D8636CAA}"/>
    <cellStyle name="40 % - Accent6 2 4" xfId="383" xr:uid="{00000000-0005-0000-0000-0000A0010000}"/>
    <cellStyle name="40 % - Accent6 2 4 2" xfId="911" xr:uid="{375F316D-61ED-4A81-A918-062EA6F493F6}"/>
    <cellStyle name="40 % - Accent6 2 5" xfId="604" xr:uid="{892C0E0B-FB49-41B6-83D9-7E51FA61575F}"/>
    <cellStyle name="40 % - Accent6 3" xfId="110" xr:uid="{00000000-0005-0000-0000-00006E000000}"/>
    <cellStyle name="40 % - Accent6 3 2" xfId="298" xr:uid="{00000000-0005-0000-0000-00002A010000}"/>
    <cellStyle name="40 % - Accent6 3 2 2" xfId="793" xr:uid="{E8BE8AE7-D371-4A52-BBD7-8C859AA701E1}"/>
    <cellStyle name="40 % - Accent6 3 3" xfId="439" xr:uid="{00000000-0005-0000-0000-0000D8010000}"/>
    <cellStyle name="40 % - Accent6 3 3 2" xfId="967" xr:uid="{4D15BEF6-B403-43EE-BA6C-EF1401DF6620}"/>
    <cellStyle name="40 % - Accent6 3 4" xfId="606" xr:uid="{B18DF897-1D41-4143-B689-BF0AE20DACCE}"/>
    <cellStyle name="40 % - Accent6 4" xfId="864" xr:uid="{62C411A4-8A89-4AF1-84C6-840F2FE5BE24}"/>
    <cellStyle name="60 % - Accent1 2" xfId="363" xr:uid="{00000000-0005-0000-0000-00008B010000}"/>
    <cellStyle name="60 % - Accent1 2 2" xfId="890" xr:uid="{65CCF0E3-998C-454A-B0E6-35C12E88CF83}"/>
    <cellStyle name="60 % - Accent2 2" xfId="364" xr:uid="{00000000-0005-0000-0000-00008C010000}"/>
    <cellStyle name="60 % - Accent2 2 2" xfId="891" xr:uid="{66DFAE91-B819-4DA5-9946-2BCA51524A1C}"/>
    <cellStyle name="60 % - Accent3 2" xfId="365" xr:uid="{00000000-0005-0000-0000-00008D010000}"/>
    <cellStyle name="60 % - Accent3 2 2" xfId="892" xr:uid="{D42047E1-0070-434C-85CE-F5D0E379D96C}"/>
    <cellStyle name="60 % - Accent4 2" xfId="366" xr:uid="{00000000-0005-0000-0000-00008E010000}"/>
    <cellStyle name="60 % - Accent4 2 2" xfId="893" xr:uid="{41C3FA1A-84C8-4B29-BD1F-3BF32915DFCC}"/>
    <cellStyle name="60 % - Accent5 2" xfId="367" xr:uid="{00000000-0005-0000-0000-00008F010000}"/>
    <cellStyle name="60 % - Accent5 2 2" xfId="894" xr:uid="{CFC11C32-32CB-4D45-9243-CE69C77A0CE6}"/>
    <cellStyle name="60 % - Accent6 2" xfId="368" xr:uid="{00000000-0005-0000-0000-000090010000}"/>
    <cellStyle name="60 % - Accent6 2 2" xfId="895" xr:uid="{C30B2C77-1392-4101-94A7-69CBAAA019F4}"/>
    <cellStyle name="Accent1 2" xfId="847" xr:uid="{DBDB2F7E-2824-4C50-A38C-B84183D266F1}"/>
    <cellStyle name="Accent2 2" xfId="850" xr:uid="{5A0003C8-6C7A-4A79-B76B-85869B5E88A7}"/>
    <cellStyle name="Accent3 2" xfId="853" xr:uid="{664D0C9F-FF95-43D7-8F20-07866B5F8802}"/>
    <cellStyle name="Accent4 2" xfId="856" xr:uid="{014D00E0-8014-4A35-BEB9-35B014D57F2E}"/>
    <cellStyle name="Accent5 2" xfId="859" xr:uid="{DED595FA-79E7-4AE4-8ACD-6EDA564911DD}"/>
    <cellStyle name="Accent6 2" xfId="862" xr:uid="{CC34042A-9895-4DDB-8B67-8F1F8020EBA3}"/>
    <cellStyle name="Avertissement 2" xfId="844" xr:uid="{AAAB428A-2158-459F-9737-EC73BB5AA3CB}"/>
    <cellStyle name="Calcul 2" xfId="841" xr:uid="{D1F5DCBD-C969-4550-9910-6EDD731CCC3C}"/>
    <cellStyle name="Cellule liée 2" xfId="842" xr:uid="{40431EF9-9109-4430-A255-4B24177D0E07}"/>
    <cellStyle name="Commentaire 2" xfId="111" xr:uid="{00000000-0005-0000-0000-00006F000000}"/>
    <cellStyle name="Commentaire 2 2" xfId="112" xr:uid="{00000000-0005-0000-0000-000070000000}"/>
    <cellStyle name="Commentaire 2 2 2" xfId="113" xr:uid="{00000000-0005-0000-0000-000071000000}"/>
    <cellStyle name="Commentaire 2 2 2 2" xfId="301" xr:uid="{00000000-0005-0000-0000-00002D010000}"/>
    <cellStyle name="Commentaire 2 2 2 2 2" xfId="796" xr:uid="{2385060E-B6F6-453A-BE27-0D96B20113FD}"/>
    <cellStyle name="Commentaire 2 2 2 3" xfId="476" xr:uid="{00000000-0005-0000-0000-0000FD010000}"/>
    <cellStyle name="Commentaire 2 2 2 3 2" xfId="1004" xr:uid="{4CC1C943-160F-4328-8D59-F8EBD185EDB1}"/>
    <cellStyle name="Commentaire 2 2 2 4" xfId="609" xr:uid="{5020D422-02E5-45A9-B563-11839D79D748}"/>
    <cellStyle name="Commentaire 2 2 3" xfId="300" xr:uid="{00000000-0005-0000-0000-00002C010000}"/>
    <cellStyle name="Commentaire 2 2 3 2" xfId="795" xr:uid="{19B60A35-5DD5-4B91-8F65-0DCE55DBCEDB}"/>
    <cellStyle name="Commentaire 2 2 4" xfId="405" xr:uid="{00000000-0005-0000-0000-0000B6010000}"/>
    <cellStyle name="Commentaire 2 2 4 2" xfId="933" xr:uid="{33DCB608-D64F-4FF2-9C5E-3E9D7D3ADF83}"/>
    <cellStyle name="Commentaire 2 2 5" xfId="608" xr:uid="{DD48DDF6-A186-44FD-BF13-74558F5F3BD8}"/>
    <cellStyle name="Commentaire 2 3" xfId="114" xr:uid="{00000000-0005-0000-0000-000072000000}"/>
    <cellStyle name="Commentaire 2 3 2" xfId="302" xr:uid="{00000000-0005-0000-0000-00002E010000}"/>
    <cellStyle name="Commentaire 2 3 2 2" xfId="797" xr:uid="{481F73AA-C303-4F4A-949F-68607433ACE0}"/>
    <cellStyle name="Commentaire 2 3 3" xfId="441" xr:uid="{00000000-0005-0000-0000-0000DA010000}"/>
    <cellStyle name="Commentaire 2 3 3 2" xfId="969" xr:uid="{2CA53DB4-ECBF-473A-8488-59C2895AB868}"/>
    <cellStyle name="Commentaire 2 3 4" xfId="610" xr:uid="{463C3ABA-5EEC-46CC-95B2-2D37CE437E07}"/>
    <cellStyle name="Commentaire 2 4" xfId="299" xr:uid="{00000000-0005-0000-0000-00002B010000}"/>
    <cellStyle name="Commentaire 2 4 2" xfId="794" xr:uid="{BBE1862D-A617-4076-961D-2FF347D8A17B}"/>
    <cellStyle name="Commentaire 2 5" xfId="370" xr:uid="{00000000-0005-0000-0000-000092010000}"/>
    <cellStyle name="Commentaire 2 5 2" xfId="897" xr:uid="{FE6B7ED1-A20A-408D-BEB8-9D8B621A3F1D}"/>
    <cellStyle name="Commentaire 2 6" xfId="607" xr:uid="{C554D0CF-F766-4FDA-8DF0-AD5E87F0BBA9}"/>
    <cellStyle name="Entrée 2" xfId="839" xr:uid="{59F38800-0B33-4093-A76E-F42B8FC80094}"/>
    <cellStyle name="Euro" xfId="1" xr:uid="{00000000-0005-0000-0000-000001000000}"/>
    <cellStyle name="Euro 2" xfId="2" xr:uid="{00000000-0005-0000-0000-000002000000}"/>
    <cellStyle name="Euro 2 2" xfId="197" xr:uid="{00000000-0005-0000-0000-0000C5000000}"/>
    <cellStyle name="Euro 2 2 2" xfId="692" xr:uid="{16D007F4-E820-416C-BB51-83AB9D5B9236}"/>
    <cellStyle name="Euro 2 3" xfId="357" xr:uid="{00000000-0005-0000-0000-000085010000}"/>
    <cellStyle name="Euro 2 3 2" xfId="884" xr:uid="{90A87D54-ED55-44F8-A510-F538D57D6BA5}"/>
    <cellStyle name="Euro 2 4" xfId="499" xr:uid="{FE1AFF4B-5469-442F-8269-78ED18C8CDE6}"/>
    <cellStyle name="Euro 3" xfId="196" xr:uid="{00000000-0005-0000-0000-0000C4000000}"/>
    <cellStyle name="Euro 3 2" xfId="691" xr:uid="{83554A1C-24AE-442B-BC7A-62F821881819}"/>
    <cellStyle name="Euro 4" xfId="338" xr:uid="{00000000-0005-0000-0000-000072010000}"/>
    <cellStyle name="Euro 4 2" xfId="865" xr:uid="{8F3783A7-C4E5-43F5-8CB0-AF26067246F6}"/>
    <cellStyle name="Euro 5" xfId="498" xr:uid="{5894BDBB-BC88-4FD2-BB95-BC0DF867E7B3}"/>
    <cellStyle name="Insatisfaisant 2" xfId="838" xr:uid="{950D28E1-D950-4902-A2B1-0F1359B266DB}"/>
    <cellStyle name="Lien hypertexte" xfId="148" builtinId="8"/>
    <cellStyle name="Lien hypertexte 2" xfId="115" xr:uid="{00000000-0005-0000-0000-000073000000}"/>
    <cellStyle name="Lien hypertexte 2 2" xfId="611" xr:uid="{E708BC30-0F42-4A19-B227-06E531A6C0AA}"/>
    <cellStyle name="Lien hypertexte 3" xfId="116" xr:uid="{00000000-0005-0000-0000-000074000000}"/>
    <cellStyle name="Lien hypertexte 3 2" xfId="485" xr:uid="{00000000-0005-0000-0000-000006020000}"/>
    <cellStyle name="Lien hypertexte 3 2 2" xfId="1013" xr:uid="{8D698AC0-0FAB-4C87-8827-CF2864D635CB}"/>
    <cellStyle name="Lien hypertexte 3 3" xfId="612" xr:uid="{571D4D92-8727-4768-892C-319E1C51088F}"/>
    <cellStyle name="Lien hypertexte 4" xfId="643" xr:uid="{F0D5FA60-F49F-4CC0-9D42-D1A7B5CE2D46}"/>
    <cellStyle name="Lien hypertexte visité 2" xfId="898" xr:uid="{64176A87-1AA5-4974-9FBA-620755D5C441}"/>
    <cellStyle name="Milliers 2" xfId="3" xr:uid="{00000000-0005-0000-0000-000003000000}"/>
    <cellStyle name="Milliers 2 2" xfId="28" xr:uid="{00000000-0005-0000-0000-00001C000000}"/>
    <cellStyle name="Milliers 2 2 2" xfId="117" xr:uid="{00000000-0005-0000-0000-000075000000}"/>
    <cellStyle name="Milliers 2 2 2 2" xfId="303" xr:uid="{00000000-0005-0000-0000-00002F010000}"/>
    <cellStyle name="Milliers 2 2 2 2 2" xfId="798" xr:uid="{FAA51E7A-39D8-4198-967A-0F218702E4F7}"/>
    <cellStyle name="Milliers 2 2 2 3" xfId="472" xr:uid="{00000000-0005-0000-0000-0000F9010000}"/>
    <cellStyle name="Milliers 2 2 2 3 2" xfId="1000" xr:uid="{4E31D841-F251-4D4D-8FBC-3DC8A0E215D5}"/>
    <cellStyle name="Milliers 2 2 2 4" xfId="613" xr:uid="{E4CC0A09-28C6-444B-820E-B589A57B394C}"/>
    <cellStyle name="Milliers 2 2 3" xfId="220" xr:uid="{00000000-0005-0000-0000-0000DC000000}"/>
    <cellStyle name="Milliers 2 2 3 2" xfId="715" xr:uid="{F6BE5C95-4A9E-49E4-ABAF-B9A03E0EC470}"/>
    <cellStyle name="Milliers 2 2 4" xfId="401" xr:uid="{00000000-0005-0000-0000-0000B2010000}"/>
    <cellStyle name="Milliers 2 2 4 2" xfId="929" xr:uid="{24503EA8-997B-4913-9AD9-A22BB5E18BCA}"/>
    <cellStyle name="Milliers 2 2 5" xfId="525" xr:uid="{836DF363-3E5B-48BC-8836-B1414F02354E}"/>
    <cellStyle name="Milliers 2 3" xfId="29" xr:uid="{00000000-0005-0000-0000-00001D000000}"/>
    <cellStyle name="Milliers 2 3 2" xfId="221" xr:uid="{00000000-0005-0000-0000-0000DD000000}"/>
    <cellStyle name="Milliers 2 3 2 2" xfId="716" xr:uid="{EE860014-936C-462B-967E-83470CDFC861}"/>
    <cellStyle name="Milliers 2 3 3" xfId="425" xr:uid="{00000000-0005-0000-0000-0000CA010000}"/>
    <cellStyle name="Milliers 2 3 3 2" xfId="953" xr:uid="{46556FC2-E873-4249-B621-1BACE7549128}"/>
    <cellStyle name="Milliers 2 3 4" xfId="526" xr:uid="{9C6BA77F-D928-45A7-BB95-FE3A217EB183}"/>
    <cellStyle name="Milliers 2 4" xfId="154" xr:uid="{00000000-0005-0000-0000-00009A000000}"/>
    <cellStyle name="Milliers 2 4 2" xfId="335" xr:uid="{00000000-0005-0000-0000-00004F010000}"/>
    <cellStyle name="Milliers 2 4 2 2" xfId="830" xr:uid="{3798246F-9327-4169-9A72-F923CE425436}"/>
    <cellStyle name="Milliers 2 4 3" xfId="649" xr:uid="{F962DAB5-2F3F-45CF-BC40-FE294C591254}"/>
    <cellStyle name="Milliers 2 5" xfId="198" xr:uid="{00000000-0005-0000-0000-0000C6000000}"/>
    <cellStyle name="Milliers 2 5 2" xfId="693" xr:uid="{8AD57D07-AF65-4E5B-89E9-197619E48503}"/>
    <cellStyle name="Milliers 2 6" xfId="358" xr:uid="{00000000-0005-0000-0000-000086010000}"/>
    <cellStyle name="Milliers 2 6 2" xfId="885" xr:uid="{4942861E-C525-4E83-B916-5738F36755E9}"/>
    <cellStyle name="Milliers 2 7" xfId="500" xr:uid="{DF7CB332-1CC7-489E-BB27-E53D1AD6D965}"/>
    <cellStyle name="Monétaire 10" xfId="1027" xr:uid="{87F11D86-97D7-44E0-9C52-19CBC8456766}"/>
    <cellStyle name="Monétaire 2" xfId="4" xr:uid="{00000000-0005-0000-0000-000004000000}"/>
    <cellStyle name="Monétaire 2 2" xfId="199" xr:uid="{00000000-0005-0000-0000-0000C7000000}"/>
    <cellStyle name="Monétaire 2 2 2" xfId="694" xr:uid="{036D8785-DB2E-4890-A52B-B86953180C5B}"/>
    <cellStyle name="Monétaire 2 3" xfId="339" xr:uid="{00000000-0005-0000-0000-000073010000}"/>
    <cellStyle name="Monétaire 2 3 2" xfId="866" xr:uid="{3EA643CB-6889-4DB0-B3A5-B55DE6865E07}"/>
    <cellStyle name="Monétaire 2 4" xfId="501" xr:uid="{DFC17493-07F8-45F2-884C-324181B895AD}"/>
    <cellStyle name="Monétaire 3" xfId="5" xr:uid="{00000000-0005-0000-0000-000005000000}"/>
    <cellStyle name="Monétaire 3 2" xfId="30" xr:uid="{00000000-0005-0000-0000-00001E000000}"/>
    <cellStyle name="Monétaire 3 2 2" xfId="118" xr:uid="{00000000-0005-0000-0000-000076000000}"/>
    <cellStyle name="Monétaire 3 2 2 2" xfId="304" xr:uid="{00000000-0005-0000-0000-000030010000}"/>
    <cellStyle name="Monétaire 3 2 2 2 2" xfId="799" xr:uid="{8D476E1F-DA5B-412A-B865-6EBA7EA10978}"/>
    <cellStyle name="Monétaire 3 2 2 3" xfId="473" xr:uid="{00000000-0005-0000-0000-0000FA010000}"/>
    <cellStyle name="Monétaire 3 2 2 3 2" xfId="1001" xr:uid="{BD7B2BE0-775F-4C96-B9B6-6536D4B882BD}"/>
    <cellStyle name="Monétaire 3 2 2 4" xfId="614" xr:uid="{71D2B5F8-C2B1-4A60-AE9D-55ED5AC2AFE4}"/>
    <cellStyle name="Monétaire 3 2 3" xfId="222" xr:uid="{00000000-0005-0000-0000-0000DE000000}"/>
    <cellStyle name="Monétaire 3 2 3 2" xfId="717" xr:uid="{4D75D129-AAFE-4EE3-B862-325976E99767}"/>
    <cellStyle name="Monétaire 3 2 4" xfId="402" xr:uid="{00000000-0005-0000-0000-0000B3010000}"/>
    <cellStyle name="Monétaire 3 2 4 2" xfId="930" xr:uid="{8072154E-35CD-44F0-A6A8-0B7F3338B3F7}"/>
    <cellStyle name="Monétaire 3 2 5" xfId="527" xr:uid="{B7BD4230-A944-4C19-AD8E-20BD65A58181}"/>
    <cellStyle name="Monétaire 3 3" xfId="31" xr:uid="{00000000-0005-0000-0000-00001F000000}"/>
    <cellStyle name="Monétaire 3 3 2" xfId="223" xr:uid="{00000000-0005-0000-0000-0000DF000000}"/>
    <cellStyle name="Monétaire 3 3 2 2" xfId="718" xr:uid="{CFC122EF-1F4F-4646-8BC4-95499EAD1DB3}"/>
    <cellStyle name="Monétaire 3 3 3" xfId="426" xr:uid="{00000000-0005-0000-0000-0000CB010000}"/>
    <cellStyle name="Monétaire 3 3 3 2" xfId="954" xr:uid="{5D921018-7799-4CCC-B6A7-508F770DA187}"/>
    <cellStyle name="Monétaire 3 3 4" xfId="528" xr:uid="{D851C1EC-C80C-42D4-8670-EECC41038EE0}"/>
    <cellStyle name="Monétaire 3 4" xfId="200" xr:uid="{00000000-0005-0000-0000-0000C8000000}"/>
    <cellStyle name="Monétaire 3 4 2" xfId="695" xr:uid="{21EC15F0-5CD9-4FF9-8A11-E83B9FDBB01B}"/>
    <cellStyle name="Monétaire 3 5" xfId="359" xr:uid="{00000000-0005-0000-0000-000087010000}"/>
    <cellStyle name="Monétaire 3 5 2" xfId="886" xr:uid="{4DD607CF-F48B-4EDC-A519-204BF7F56DE6}"/>
    <cellStyle name="Monétaire 3 6" xfId="502" xr:uid="{FA780312-CA5A-4A36-84D4-CDB7F5EDDAB4}"/>
    <cellStyle name="Monétaire 4" xfId="119" xr:uid="{00000000-0005-0000-0000-000077000000}"/>
    <cellStyle name="Monétaire 4 2" xfId="120" xr:uid="{00000000-0005-0000-0000-000078000000}"/>
    <cellStyle name="Monétaire 4 2 2" xfId="306" xr:uid="{00000000-0005-0000-0000-000032010000}"/>
    <cellStyle name="Monétaire 4 2 2 2" xfId="801" xr:uid="{075DAEB3-FB4A-45C8-9138-5BA70AA0DCCD}"/>
    <cellStyle name="Monétaire 4 2 3" xfId="477" xr:uid="{00000000-0005-0000-0000-0000FE010000}"/>
    <cellStyle name="Monétaire 4 2 3 2" xfId="1005" xr:uid="{D340AF42-68BA-4E19-9CD2-D8A43440337D}"/>
    <cellStyle name="Monétaire 4 2 4" xfId="616" xr:uid="{1AF7C30F-E0C0-44E3-84C0-59B7A19D3D89}"/>
    <cellStyle name="Monétaire 4 3" xfId="305" xr:uid="{00000000-0005-0000-0000-000031010000}"/>
    <cellStyle name="Monétaire 4 3 2" xfId="800" xr:uid="{E27F7CC2-ACFE-47DC-A414-6ACD6EFEDE9F}"/>
    <cellStyle name="Monétaire 4 4" xfId="406" xr:uid="{00000000-0005-0000-0000-0000B7010000}"/>
    <cellStyle name="Monétaire 4 4 2" xfId="934" xr:uid="{8FF94EF3-3E97-4459-9FF2-B56957F16C8E}"/>
    <cellStyle name="Monétaire 4 5" xfId="615" xr:uid="{C4ED14C6-674D-477D-98F9-FD80BADE3295}"/>
    <cellStyle name="Monétaire 5" xfId="159" xr:uid="{00000000-0005-0000-0000-00009F000000}"/>
    <cellStyle name="Monétaire 5 2" xfId="654" xr:uid="{F0278951-DC7D-4D6A-87E0-B19360835E76}"/>
    <cellStyle name="Monétaire 6" xfId="163" xr:uid="{00000000-0005-0000-0000-0000A3000000}"/>
    <cellStyle name="Monétaire 6 2" xfId="658" xr:uid="{564BBCAA-550C-4194-BF87-5F83E3FD05C0}"/>
    <cellStyle name="Monétaire 7" xfId="172" xr:uid="{00000000-0005-0000-0000-0000AC000000}"/>
    <cellStyle name="Monétaire 7 2" xfId="667" xr:uid="{E52624B0-7594-4BA1-9328-9EE09B5720DA}"/>
    <cellStyle name="Monétaire 8" xfId="176" xr:uid="{00000000-0005-0000-0000-0000B0000000}"/>
    <cellStyle name="Monétaire 8 2" xfId="671" xr:uid="{EFC86CF8-8968-43DC-8AEA-A0712602112F}"/>
    <cellStyle name="Monétaire 9" xfId="1026" xr:uid="{A3CB4122-D8BA-44FD-B6BF-3B155F0E4522}"/>
    <cellStyle name="Neutre 2" xfId="362" xr:uid="{00000000-0005-0000-0000-00008A010000}"/>
    <cellStyle name="Neutre 2 2" xfId="889" xr:uid="{89E0CCE9-99F9-48A5-93C8-B15F46274707}"/>
    <cellStyle name="Normal" xfId="0" builtinId="0"/>
    <cellStyle name="Normal 10" xfId="173" xr:uid="{00000000-0005-0000-0000-0000AD000000}"/>
    <cellStyle name="Normal 10 2" xfId="668" xr:uid="{3E4F4C76-1C11-43C4-8847-7551CD053C80}"/>
    <cellStyle name="Normal 11" xfId="174" xr:uid="{00000000-0005-0000-0000-0000AE000000}"/>
    <cellStyle name="Normal 11 2" xfId="192" xr:uid="{00000000-0005-0000-0000-0000C0000000}"/>
    <cellStyle name="Normal 11 2 2" xfId="487" xr:uid="{00000000-0005-0000-0000-000008020000}"/>
    <cellStyle name="Normal 11 2 2 2" xfId="1015" xr:uid="{781BBF31-04FB-4A3B-95D5-02C42E471474}"/>
    <cellStyle name="Normal 11 2 3" xfId="687" xr:uid="{54F9A50B-58F8-45F9-97D8-4C6F6BCA9814}"/>
    <cellStyle name="Normal 11 3" xfId="669" xr:uid="{E3110728-EB7E-49C1-B98E-175FB1E32B84}"/>
    <cellStyle name="Normal 12" xfId="178" xr:uid="{00000000-0005-0000-0000-0000B2000000}"/>
    <cellStyle name="Normal 12 2" xfId="180" xr:uid="{00000000-0005-0000-0000-0000B4000000}"/>
    <cellStyle name="Normal 12 2 2" xfId="675" xr:uid="{86519F86-8481-4886-BA41-956B57232192}"/>
    <cellStyle name="Normal 12 3" xfId="673" xr:uid="{9467B3DF-594D-4F16-AB93-F5B9B5C3C0AF}"/>
    <cellStyle name="Normal 13" xfId="181" xr:uid="{00000000-0005-0000-0000-0000B5000000}"/>
    <cellStyle name="Normal 13 2" xfId="486" xr:uid="{00000000-0005-0000-0000-000007020000}"/>
    <cellStyle name="Normal 13 2 2" xfId="1014" xr:uid="{A740C4AE-B44F-4F14-8793-41D3AF78C769}"/>
    <cellStyle name="Normal 13 3" xfId="676" xr:uid="{EA88E4AF-7818-4F4C-B734-DF24FE5172C0}"/>
    <cellStyle name="Normal 14" xfId="187" xr:uid="{00000000-0005-0000-0000-0000BB000000}"/>
    <cellStyle name="Normal 14 2" xfId="682" xr:uid="{3E7B937A-94CA-4C94-9E54-CDCC30C22F3A}"/>
    <cellStyle name="Normal 15" xfId="1025" xr:uid="{53F5D89B-312B-4A7E-90EC-DE855488380A}"/>
    <cellStyle name="Normal 16" xfId="497" xr:uid="{FA77E846-1C43-422D-9461-177AF7B2DAA6}"/>
    <cellStyle name="Normal 2" xfId="6" xr:uid="{00000000-0005-0000-0000-000006000000}"/>
    <cellStyle name="Normal 2 10" xfId="164" xr:uid="{00000000-0005-0000-0000-0000A4000000}"/>
    <cellStyle name="Normal 2 10 2" xfId="177" xr:uid="{00000000-0005-0000-0000-0000B1000000}"/>
    <cellStyle name="Normal 2 10 2 2" xfId="672" xr:uid="{E0950500-7593-4F0D-AE29-2168310F6EBD}"/>
    <cellStyle name="Normal 2 10 3" xfId="337" xr:uid="{00000000-0005-0000-0000-000051010000}"/>
    <cellStyle name="Normal 2 10 3 2" xfId="832" xr:uid="{C74CD8A9-8908-432B-AAE6-5C1C44B25255}"/>
    <cellStyle name="Normal 2 10 4" xfId="659" xr:uid="{1EE17805-01CE-4CC5-BA95-20EFD202D3E4}"/>
    <cellStyle name="Normal 2 11" xfId="182" xr:uid="{00000000-0005-0000-0000-0000B6000000}"/>
    <cellStyle name="Normal 2 11 2" xfId="488" xr:uid="{00000000-0005-0000-0000-000009020000}"/>
    <cellStyle name="Normal 2 11 2 2" xfId="1016" xr:uid="{B502CCA3-7DFF-4FF8-9FBE-6D8291A2ED6C}"/>
    <cellStyle name="Normal 2 11 3" xfId="677" xr:uid="{FE5E0674-7F55-4EEF-A864-A2D18743055D}"/>
    <cellStyle name="Normal 2 12" xfId="183" xr:uid="{00000000-0005-0000-0000-0000B7000000}"/>
    <cellStyle name="Normal 2 12 2" xfId="678" xr:uid="{A2753199-0BCB-486A-9AAB-55D2197BF34C}"/>
    <cellStyle name="Normal 2 13" xfId="188" xr:uid="{00000000-0005-0000-0000-0000BC000000}"/>
    <cellStyle name="Normal 2 13 2" xfId="683" xr:uid="{223FC254-7D65-4D53-8BCD-5697FAD6655C}"/>
    <cellStyle name="Normal 2 14" xfId="340" xr:uid="{00000000-0005-0000-0000-000074010000}"/>
    <cellStyle name="Normal 2 14 2" xfId="867" xr:uid="{0761FA23-CBAE-4BB2-8D2F-8F57F18E830C}"/>
    <cellStyle name="Normal 2 15" xfId="503" xr:uid="{F084AFB4-8EDB-4A02-8628-F777CE77295A}"/>
    <cellStyle name="Normal 2 2" xfId="7" xr:uid="{00000000-0005-0000-0000-000007000000}"/>
    <cellStyle name="Normal 2 2 10" xfId="179" xr:uid="{00000000-0005-0000-0000-0000B3000000}"/>
    <cellStyle name="Normal 2 2 10 2" xfId="674" xr:uid="{3CD6547F-0BEF-4A25-B54D-445E621B6072}"/>
    <cellStyle name="Normal 2 2 11" xfId="201" xr:uid="{00000000-0005-0000-0000-0000C9000000}"/>
    <cellStyle name="Normal 2 2 11 2" xfId="696" xr:uid="{D946EA4E-C209-4990-8107-EBA105E78A8B}"/>
    <cellStyle name="Normal 2 2 12" xfId="341" xr:uid="{00000000-0005-0000-0000-000075010000}"/>
    <cellStyle name="Normal 2 2 12 2" xfId="868" xr:uid="{BFCE8532-2772-4B9F-92AD-C721FD34CAB0}"/>
    <cellStyle name="Normal 2 2 13" xfId="504" xr:uid="{C493D391-FB4A-4656-98EF-0B2280ECE976}"/>
    <cellStyle name="Normal 2 2 2" xfId="8" xr:uid="{00000000-0005-0000-0000-000008000000}"/>
    <cellStyle name="Normal 2 2 2 2" xfId="9" xr:uid="{00000000-0005-0000-0000-000009000000}"/>
    <cellStyle name="Normal 2 2 2 2 2" xfId="32" xr:uid="{00000000-0005-0000-0000-000020000000}"/>
    <cellStyle name="Normal 2 2 2 2 2 2" xfId="121" xr:uid="{00000000-0005-0000-0000-000079000000}"/>
    <cellStyle name="Normal 2 2 2 2 2 2 2" xfId="307" xr:uid="{00000000-0005-0000-0000-000033010000}"/>
    <cellStyle name="Normal 2 2 2 2 2 2 2 2" xfId="802" xr:uid="{B1BAAB31-8A49-4804-AFD1-2B9818144377}"/>
    <cellStyle name="Normal 2 2 2 2 2 2 3" xfId="458" xr:uid="{00000000-0005-0000-0000-0000EB010000}"/>
    <cellStyle name="Normal 2 2 2 2 2 2 3 2" xfId="986" xr:uid="{DF29B0FC-69AA-4D52-AC74-1D8B7FDBC54F}"/>
    <cellStyle name="Normal 2 2 2 2 2 2 4" xfId="617" xr:uid="{94A1CC4D-E84A-4E88-9EE2-4C6C9D063447}"/>
    <cellStyle name="Normal 2 2 2 2 2 3" xfId="224" xr:uid="{00000000-0005-0000-0000-0000E0000000}"/>
    <cellStyle name="Normal 2 2 2 2 2 3 2" xfId="719" xr:uid="{9EA24008-6E68-4E16-A879-6BF3BE2F882E}"/>
    <cellStyle name="Normal 2 2 2 2 2 4" xfId="387" xr:uid="{00000000-0005-0000-0000-0000A4010000}"/>
    <cellStyle name="Normal 2 2 2 2 2 4 2" xfId="915" xr:uid="{C6C665F7-E7CB-4D4E-9E03-93CF68B1CE1B}"/>
    <cellStyle name="Normal 2 2 2 2 2 5" xfId="529" xr:uid="{28A3FA69-57FC-48AD-B9B4-EBE7565F9DC3}"/>
    <cellStyle name="Normal 2 2 2 2 3" xfId="33" xr:uid="{00000000-0005-0000-0000-000021000000}"/>
    <cellStyle name="Normal 2 2 2 2 3 2" xfId="225" xr:uid="{00000000-0005-0000-0000-0000E1000000}"/>
    <cellStyle name="Normal 2 2 2 2 3 2 2" xfId="720" xr:uid="{F5CFFCE0-6D59-4B7A-BD7C-105E1630EEC9}"/>
    <cellStyle name="Normal 2 2 2 2 3 3" xfId="411" xr:uid="{00000000-0005-0000-0000-0000BC010000}"/>
    <cellStyle name="Normal 2 2 2 2 3 3 2" xfId="939" xr:uid="{781A80DA-52FB-4514-9ED3-0F6564269F1E}"/>
    <cellStyle name="Normal 2 2 2 2 3 4" xfId="530" xr:uid="{86E99FA9-E4DA-473C-886C-9E525EBA2F94}"/>
    <cellStyle name="Normal 2 2 2 2 4" xfId="203" xr:uid="{00000000-0005-0000-0000-0000CB000000}"/>
    <cellStyle name="Normal 2 2 2 2 4 2" xfId="698" xr:uid="{6301028B-6D4F-481F-B1AB-7A4A268C0F0A}"/>
    <cellStyle name="Normal 2 2 2 2 5" xfId="343" xr:uid="{00000000-0005-0000-0000-000077010000}"/>
    <cellStyle name="Normal 2 2 2 2 5 2" xfId="870" xr:uid="{A0509CD8-6138-4019-BFC7-73968ABF3639}"/>
    <cellStyle name="Normal 2 2 2 2 6" xfId="506" xr:uid="{024F987B-2542-4252-8376-EFF42C8126BA}"/>
    <cellStyle name="Normal 2 2 2 3" xfId="25" xr:uid="{00000000-0005-0000-0000-000019000000}"/>
    <cellStyle name="Normal 2 2 2 3 2" xfId="34" xr:uid="{00000000-0005-0000-0000-000022000000}"/>
    <cellStyle name="Normal 2 2 2 3 2 2" xfId="122" xr:uid="{00000000-0005-0000-0000-00007A000000}"/>
    <cellStyle name="Normal 2 2 2 3 2 2 2" xfId="308" xr:uid="{00000000-0005-0000-0000-000034010000}"/>
    <cellStyle name="Normal 2 2 2 3 2 2 2 2" xfId="803" xr:uid="{B52EF48F-F770-4208-A282-6198B512ED78}"/>
    <cellStyle name="Normal 2 2 2 3 2 2 3" xfId="471" xr:uid="{00000000-0005-0000-0000-0000F8010000}"/>
    <cellStyle name="Normal 2 2 2 3 2 2 3 2" xfId="999" xr:uid="{268AC445-BE55-423E-B269-A704EBA2FDD8}"/>
    <cellStyle name="Normal 2 2 2 3 2 2 4" xfId="618" xr:uid="{276F3844-92B3-4E4E-82E3-C6BDE78A9BE1}"/>
    <cellStyle name="Normal 2 2 2 3 2 3" xfId="226" xr:uid="{00000000-0005-0000-0000-0000E2000000}"/>
    <cellStyle name="Normal 2 2 2 3 2 3 2" xfId="721" xr:uid="{4845EDCF-F3E0-41C7-88B4-F92328860D5C}"/>
    <cellStyle name="Normal 2 2 2 3 2 4" xfId="400" xr:uid="{00000000-0005-0000-0000-0000B1010000}"/>
    <cellStyle name="Normal 2 2 2 3 2 4 2" xfId="928" xr:uid="{FC1920FA-3D1A-4FB5-8B4A-445BAE29D9CD}"/>
    <cellStyle name="Normal 2 2 2 3 2 5" xfId="531" xr:uid="{2B10CEB4-62C4-4FD5-A73B-63A97319F57C}"/>
    <cellStyle name="Normal 2 2 2 3 3" xfId="27" xr:uid="{00000000-0005-0000-0000-00001B000000}"/>
    <cellStyle name="Normal 2 2 2 3 3 2" xfId="72" xr:uid="{00000000-0005-0000-0000-000048000000}"/>
    <cellStyle name="Normal 2 2 2 3 3 2 2" xfId="260" xr:uid="{00000000-0005-0000-0000-000004010000}"/>
    <cellStyle name="Normal 2 2 2 3 3 2 2 2" xfId="755" xr:uid="{B1326F27-FF63-44F5-A94E-DB184A817A65}"/>
    <cellStyle name="Normal 2 2 2 3 3 2 3" xfId="568" xr:uid="{50056A07-E476-4337-9381-8EBE8DABDDC2}"/>
    <cellStyle name="Normal 2 2 2 3 3 3" xfId="219" xr:uid="{00000000-0005-0000-0000-0000DB000000}"/>
    <cellStyle name="Normal 2 2 2 3 3 3 2" xfId="714" xr:uid="{D3F6E734-C02F-4E65-A3C2-0105F45D654F}"/>
    <cellStyle name="Normal 2 2 2 3 3 4" xfId="424" xr:uid="{00000000-0005-0000-0000-0000C9010000}"/>
    <cellStyle name="Normal 2 2 2 3 3 4 2" xfId="952" xr:uid="{09931FB4-7F7A-4FC0-B97B-E07B863A1E3F}"/>
    <cellStyle name="Normal 2 2 2 3 3 5" xfId="524" xr:uid="{674CBCF1-E595-4CDA-9D09-6732036D003C}"/>
    <cellStyle name="Normal 2 2 2 3 4" xfId="35" xr:uid="{00000000-0005-0000-0000-000023000000}"/>
    <cellStyle name="Normal 2 2 2 3 4 2" xfId="227" xr:uid="{00000000-0005-0000-0000-0000E3000000}"/>
    <cellStyle name="Normal 2 2 2 3 4 2 2" xfId="722" xr:uid="{904153C5-4349-4DCF-B9D6-C35D4539D97F}"/>
    <cellStyle name="Normal 2 2 2 3 4 3" xfId="532" xr:uid="{F2180DEE-F2B7-44B9-990C-26F71CC5D49B}"/>
    <cellStyle name="Normal 2 2 2 3 5" xfId="217" xr:uid="{00000000-0005-0000-0000-0000D9000000}"/>
    <cellStyle name="Normal 2 2 2 3 5 2" xfId="712" xr:uid="{C36D8391-1F8C-43DB-81A1-1385F3340867}"/>
    <cellStyle name="Normal 2 2 2 3 6" xfId="356" xr:uid="{00000000-0005-0000-0000-000084010000}"/>
    <cellStyle name="Normal 2 2 2 3 6 2" xfId="883" xr:uid="{AAD45562-773A-4A1A-B0E2-C4B946CF1411}"/>
    <cellStyle name="Normal 2 2 2 3 7" xfId="522" xr:uid="{02AE6C65-CBFA-4CF4-B12F-B062CFEAF4DD}"/>
    <cellStyle name="Normal 2 2 2 4" xfId="36" xr:uid="{00000000-0005-0000-0000-000024000000}"/>
    <cellStyle name="Normal 2 2 2 4 2" xfId="123" xr:uid="{00000000-0005-0000-0000-00007B000000}"/>
    <cellStyle name="Normal 2 2 2 4 2 2" xfId="309" xr:uid="{00000000-0005-0000-0000-000035010000}"/>
    <cellStyle name="Normal 2 2 2 4 2 2 2" xfId="804" xr:uid="{F921EDFB-BB8E-4305-B0CB-8957AC9FD1F9}"/>
    <cellStyle name="Normal 2 2 2 4 2 3" xfId="457" xr:uid="{00000000-0005-0000-0000-0000EA010000}"/>
    <cellStyle name="Normal 2 2 2 4 2 3 2" xfId="985" xr:uid="{42105473-C604-4A54-B499-E24C64929D22}"/>
    <cellStyle name="Normal 2 2 2 4 2 4" xfId="619" xr:uid="{D9ABE83A-559E-4967-821E-940FA4E061DF}"/>
    <cellStyle name="Normal 2 2 2 4 3" xfId="228" xr:uid="{00000000-0005-0000-0000-0000E4000000}"/>
    <cellStyle name="Normal 2 2 2 4 3 2" xfId="723" xr:uid="{14E8AA56-8B63-481E-9FD9-C69B8AE2FDA9}"/>
    <cellStyle name="Normal 2 2 2 4 4" xfId="386" xr:uid="{00000000-0005-0000-0000-0000A3010000}"/>
    <cellStyle name="Normal 2 2 2 4 4 2" xfId="914" xr:uid="{CE392CE0-5E25-4E1A-BA4D-300C2330A994}"/>
    <cellStyle name="Normal 2 2 2 4 5" xfId="533" xr:uid="{086C60AC-3B8C-47F3-94C6-8257C62D32A0}"/>
    <cellStyle name="Normal 2 2 2 5" xfId="37" xr:uid="{00000000-0005-0000-0000-000025000000}"/>
    <cellStyle name="Normal 2 2 2 5 2" xfId="229" xr:uid="{00000000-0005-0000-0000-0000E5000000}"/>
    <cellStyle name="Normal 2 2 2 5 2 2" xfId="724" xr:uid="{AA95833C-6AED-4450-8AF3-93CF1E75EC66}"/>
    <cellStyle name="Normal 2 2 2 5 3" xfId="410" xr:uid="{00000000-0005-0000-0000-0000BB010000}"/>
    <cellStyle name="Normal 2 2 2 5 3 2" xfId="938" xr:uid="{49C8ABDF-C33F-47B5-911A-77A6B48DED31}"/>
    <cellStyle name="Normal 2 2 2 5 4" xfId="534" xr:uid="{3F035391-6054-448D-BD34-A34EB7AB70A6}"/>
    <cellStyle name="Normal 2 2 2 6" xfId="202" xr:uid="{00000000-0005-0000-0000-0000CA000000}"/>
    <cellStyle name="Normal 2 2 2 6 2" xfId="697" xr:uid="{7BF410A4-F21D-46ED-886F-7F69FC4511D3}"/>
    <cellStyle name="Normal 2 2 2 7" xfId="342" xr:uid="{00000000-0005-0000-0000-000076010000}"/>
    <cellStyle name="Normal 2 2 2 7 2" xfId="869" xr:uid="{97306D3C-D9C7-42C5-9428-3712B631F893}"/>
    <cellStyle name="Normal 2 2 2 8" xfId="505" xr:uid="{C71307B0-DE09-45D1-80DA-9E028F2BFDA1}"/>
    <cellStyle name="Normal 2 2 3" xfId="10" xr:uid="{00000000-0005-0000-0000-00000A000000}"/>
    <cellStyle name="Normal 2 2 3 2" xfId="11" xr:uid="{00000000-0005-0000-0000-00000B000000}"/>
    <cellStyle name="Normal 2 2 3 2 2" xfId="38" xr:uid="{00000000-0005-0000-0000-000026000000}"/>
    <cellStyle name="Normal 2 2 3 2 2 2" xfId="124" xr:uid="{00000000-0005-0000-0000-00007C000000}"/>
    <cellStyle name="Normal 2 2 3 2 2 2 2" xfId="310" xr:uid="{00000000-0005-0000-0000-000036010000}"/>
    <cellStyle name="Normal 2 2 3 2 2 2 2 2" xfId="805" xr:uid="{43B98C1B-D510-49F5-8F4D-F6285D11FFAE}"/>
    <cellStyle name="Normal 2 2 3 2 2 2 3" xfId="460" xr:uid="{00000000-0005-0000-0000-0000ED010000}"/>
    <cellStyle name="Normal 2 2 3 2 2 2 3 2" xfId="988" xr:uid="{A223B43F-70F4-453F-92FF-E69E028A9AB9}"/>
    <cellStyle name="Normal 2 2 3 2 2 2 4" xfId="620" xr:uid="{DF17B7ED-7A88-43DA-AE49-BFB48E792622}"/>
    <cellStyle name="Normal 2 2 3 2 2 3" xfId="230" xr:uid="{00000000-0005-0000-0000-0000E6000000}"/>
    <cellStyle name="Normal 2 2 3 2 2 3 2" xfId="725" xr:uid="{95BCB1EE-29B1-4D17-B844-D95FA3474EB8}"/>
    <cellStyle name="Normal 2 2 3 2 2 4" xfId="389" xr:uid="{00000000-0005-0000-0000-0000A6010000}"/>
    <cellStyle name="Normal 2 2 3 2 2 4 2" xfId="917" xr:uid="{DBDB305A-E5B2-4E7B-9884-AE3CBB833ECC}"/>
    <cellStyle name="Normal 2 2 3 2 2 5" xfId="535" xr:uid="{83F1B6D4-B0FC-4850-9D2A-E4EA7A339118}"/>
    <cellStyle name="Normal 2 2 3 2 3" xfId="39" xr:uid="{00000000-0005-0000-0000-000027000000}"/>
    <cellStyle name="Normal 2 2 3 2 3 2" xfId="231" xr:uid="{00000000-0005-0000-0000-0000E7000000}"/>
    <cellStyle name="Normal 2 2 3 2 3 2 2" xfId="726" xr:uid="{DD35D635-8B53-4E1D-BD76-93E1DC6DF0A6}"/>
    <cellStyle name="Normal 2 2 3 2 3 3" xfId="413" xr:uid="{00000000-0005-0000-0000-0000BE010000}"/>
    <cellStyle name="Normal 2 2 3 2 3 3 2" xfId="941" xr:uid="{73DF4D20-F258-457B-AAA9-A299E7F93208}"/>
    <cellStyle name="Normal 2 2 3 2 3 4" xfId="536" xr:uid="{BB0FCE38-955B-46E4-BE24-02AE72DB559F}"/>
    <cellStyle name="Normal 2 2 3 2 4" xfId="205" xr:uid="{00000000-0005-0000-0000-0000CD000000}"/>
    <cellStyle name="Normal 2 2 3 2 4 2" xfId="700" xr:uid="{1E9EEE42-1970-42A9-981D-3626C5A7444F}"/>
    <cellStyle name="Normal 2 2 3 2 5" xfId="345" xr:uid="{00000000-0005-0000-0000-000079010000}"/>
    <cellStyle name="Normal 2 2 3 2 5 2" xfId="872" xr:uid="{73D06706-2AA5-46D7-9F04-2CDA31AAEDD9}"/>
    <cellStyle name="Normal 2 2 3 2 6" xfId="508" xr:uid="{EE1DD8C7-B12C-48E6-BDA1-4828E7DAFA75}"/>
    <cellStyle name="Normal 2 2 3 3" xfId="40" xr:uid="{00000000-0005-0000-0000-000028000000}"/>
    <cellStyle name="Normal 2 2 3 3 2" xfId="125" xr:uid="{00000000-0005-0000-0000-00007D000000}"/>
    <cellStyle name="Normal 2 2 3 3 2 2" xfId="311" xr:uid="{00000000-0005-0000-0000-000037010000}"/>
    <cellStyle name="Normal 2 2 3 3 2 2 2" xfId="806" xr:uid="{AC36F6A1-F5A9-4BD1-897A-F7644D95EB04}"/>
    <cellStyle name="Normal 2 2 3 3 2 3" xfId="459" xr:uid="{00000000-0005-0000-0000-0000EC010000}"/>
    <cellStyle name="Normal 2 2 3 3 2 3 2" xfId="987" xr:uid="{D264D7C7-1620-43E5-BDE8-537AABE31E7C}"/>
    <cellStyle name="Normal 2 2 3 3 2 4" xfId="621" xr:uid="{70F47536-0D00-4675-97B1-B24FB7AEFBB5}"/>
    <cellStyle name="Normal 2 2 3 3 3" xfId="232" xr:uid="{00000000-0005-0000-0000-0000E8000000}"/>
    <cellStyle name="Normal 2 2 3 3 3 2" xfId="727" xr:uid="{E7DA1DD1-6795-463B-87FE-821633C61358}"/>
    <cellStyle name="Normal 2 2 3 3 4" xfId="388" xr:uid="{00000000-0005-0000-0000-0000A5010000}"/>
    <cellStyle name="Normal 2 2 3 3 4 2" xfId="916" xr:uid="{DB2BFA86-039F-4268-93F4-481716421F39}"/>
    <cellStyle name="Normal 2 2 3 3 5" xfId="537" xr:uid="{AB23FDEF-598A-416D-ABAC-4E9521496321}"/>
    <cellStyle name="Normal 2 2 3 4" xfId="41" xr:uid="{00000000-0005-0000-0000-000029000000}"/>
    <cellStyle name="Normal 2 2 3 4 2" xfId="233" xr:uid="{00000000-0005-0000-0000-0000E9000000}"/>
    <cellStyle name="Normal 2 2 3 4 2 2" xfId="728" xr:uid="{7EA20913-36BB-463C-9987-920D7756E80A}"/>
    <cellStyle name="Normal 2 2 3 4 3" xfId="412" xr:uid="{00000000-0005-0000-0000-0000BD010000}"/>
    <cellStyle name="Normal 2 2 3 4 3 2" xfId="940" xr:uid="{0B8A4913-70FE-4DFE-AE72-FF8CA0AA429F}"/>
    <cellStyle name="Normal 2 2 3 4 4" xfId="538" xr:uid="{DA6F9165-0AB6-43A8-9A91-4FF0A4969EFF}"/>
    <cellStyle name="Normal 2 2 3 5" xfId="204" xr:uid="{00000000-0005-0000-0000-0000CC000000}"/>
    <cellStyle name="Normal 2 2 3 5 2" xfId="699" xr:uid="{80EBEA26-0A55-4DA0-A0CA-0D6E3451D7A7}"/>
    <cellStyle name="Normal 2 2 3 6" xfId="344" xr:uid="{00000000-0005-0000-0000-000078010000}"/>
    <cellStyle name="Normal 2 2 3 6 2" xfId="871" xr:uid="{3C3C6AE5-A112-422A-BBC6-40C322B9A573}"/>
    <cellStyle name="Normal 2 2 3 7" xfId="507" xr:uid="{FC23B675-CC68-48C5-9045-27C2F6BD7062}"/>
    <cellStyle name="Normal 2 2 4" xfId="12" xr:uid="{00000000-0005-0000-0000-00000C000000}"/>
    <cellStyle name="Normal 2 2 4 2" xfId="13" xr:uid="{00000000-0005-0000-0000-00000D000000}"/>
    <cellStyle name="Normal 2 2 4 2 2" xfId="42" xr:uid="{00000000-0005-0000-0000-00002A000000}"/>
    <cellStyle name="Normal 2 2 4 2 2 2" xfId="126" xr:uid="{00000000-0005-0000-0000-00007E000000}"/>
    <cellStyle name="Normal 2 2 4 2 2 2 2" xfId="312" xr:uid="{00000000-0005-0000-0000-000038010000}"/>
    <cellStyle name="Normal 2 2 4 2 2 2 2 2" xfId="807" xr:uid="{C4A25DD2-DEEC-43C8-ABBD-3EF4518F4B9C}"/>
    <cellStyle name="Normal 2 2 4 2 2 2 3" xfId="462" xr:uid="{00000000-0005-0000-0000-0000EF010000}"/>
    <cellStyle name="Normal 2 2 4 2 2 2 3 2" xfId="990" xr:uid="{7DD796FD-454E-4EC7-80B4-71E574A239FA}"/>
    <cellStyle name="Normal 2 2 4 2 2 2 4" xfId="622" xr:uid="{D6DD84E9-3BA0-47E2-8A16-9A72C93D85F2}"/>
    <cellStyle name="Normal 2 2 4 2 2 3" xfId="234" xr:uid="{00000000-0005-0000-0000-0000EA000000}"/>
    <cellStyle name="Normal 2 2 4 2 2 3 2" xfId="729" xr:uid="{F1B06BBE-291A-4D8E-9888-1C506B8A2435}"/>
    <cellStyle name="Normal 2 2 4 2 2 4" xfId="391" xr:uid="{00000000-0005-0000-0000-0000A8010000}"/>
    <cellStyle name="Normal 2 2 4 2 2 4 2" xfId="919" xr:uid="{9865590E-759F-412D-99D1-D741DB05D47B}"/>
    <cellStyle name="Normal 2 2 4 2 2 5" xfId="539" xr:uid="{01960E11-3CE2-4734-B8F7-EE90B0AF6D84}"/>
    <cellStyle name="Normal 2 2 4 2 3" xfId="43" xr:uid="{00000000-0005-0000-0000-00002B000000}"/>
    <cellStyle name="Normal 2 2 4 2 3 2" xfId="235" xr:uid="{00000000-0005-0000-0000-0000EB000000}"/>
    <cellStyle name="Normal 2 2 4 2 3 2 2" xfId="730" xr:uid="{ED35E9B8-802D-4F90-BF79-D7B712BDCC67}"/>
    <cellStyle name="Normal 2 2 4 2 3 3" xfId="415" xr:uid="{00000000-0005-0000-0000-0000C0010000}"/>
    <cellStyle name="Normal 2 2 4 2 3 3 2" xfId="943" xr:uid="{2B9B9963-EAEC-44BF-8515-2B5E37CE51C2}"/>
    <cellStyle name="Normal 2 2 4 2 3 4" xfId="540" xr:uid="{6B5D4333-3352-4C5B-9FAD-8A92FD426628}"/>
    <cellStyle name="Normal 2 2 4 2 4" xfId="207" xr:uid="{00000000-0005-0000-0000-0000CF000000}"/>
    <cellStyle name="Normal 2 2 4 2 4 2" xfId="702" xr:uid="{F2F94F7F-504D-42D7-A57F-E3896D20C577}"/>
    <cellStyle name="Normal 2 2 4 2 5" xfId="347" xr:uid="{00000000-0005-0000-0000-00007B010000}"/>
    <cellStyle name="Normal 2 2 4 2 5 2" xfId="874" xr:uid="{F0FC2176-AF76-49C5-ABCC-94CBC53E3ACF}"/>
    <cellStyle name="Normal 2 2 4 2 6" xfId="510" xr:uid="{B14E792D-5FD9-42B6-BCE9-2F50217820D1}"/>
    <cellStyle name="Normal 2 2 4 3" xfId="44" xr:uid="{00000000-0005-0000-0000-00002C000000}"/>
    <cellStyle name="Normal 2 2 4 3 2" xfId="127" xr:uid="{00000000-0005-0000-0000-00007F000000}"/>
    <cellStyle name="Normal 2 2 4 3 2 2" xfId="313" xr:uid="{00000000-0005-0000-0000-000039010000}"/>
    <cellStyle name="Normal 2 2 4 3 2 2 2" xfId="808" xr:uid="{FF77FC84-623A-43E8-93D1-B1288C375AA1}"/>
    <cellStyle name="Normal 2 2 4 3 2 3" xfId="461" xr:uid="{00000000-0005-0000-0000-0000EE010000}"/>
    <cellStyle name="Normal 2 2 4 3 2 3 2" xfId="989" xr:uid="{C0A80FFD-F091-4592-8723-511CCD71B04F}"/>
    <cellStyle name="Normal 2 2 4 3 2 4" xfId="623" xr:uid="{6A6D057C-20DF-47E2-B5FD-5FE75A975A21}"/>
    <cellStyle name="Normal 2 2 4 3 3" xfId="236" xr:uid="{00000000-0005-0000-0000-0000EC000000}"/>
    <cellStyle name="Normal 2 2 4 3 3 2" xfId="731" xr:uid="{27910798-AC5A-4FA8-A1F0-A292877F307D}"/>
    <cellStyle name="Normal 2 2 4 3 4" xfId="390" xr:uid="{00000000-0005-0000-0000-0000A7010000}"/>
    <cellStyle name="Normal 2 2 4 3 4 2" xfId="918" xr:uid="{7F2889DC-5E1F-44C5-A26D-3D875309B665}"/>
    <cellStyle name="Normal 2 2 4 3 5" xfId="541" xr:uid="{FCE1B07C-BFBB-4D3F-87B1-789B02B32C27}"/>
    <cellStyle name="Normal 2 2 4 4" xfId="45" xr:uid="{00000000-0005-0000-0000-00002D000000}"/>
    <cellStyle name="Normal 2 2 4 4 2" xfId="237" xr:uid="{00000000-0005-0000-0000-0000ED000000}"/>
    <cellStyle name="Normal 2 2 4 4 2 2" xfId="732" xr:uid="{6058F8A0-1D70-4D74-9B2B-AC2E909221AD}"/>
    <cellStyle name="Normal 2 2 4 4 3" xfId="414" xr:uid="{00000000-0005-0000-0000-0000BF010000}"/>
    <cellStyle name="Normal 2 2 4 4 3 2" xfId="942" xr:uid="{E14B54BD-800B-4E8A-A594-7C5E5C9AEF5B}"/>
    <cellStyle name="Normal 2 2 4 4 4" xfId="542" xr:uid="{6D72F8D6-CA0B-4554-B66D-6CFDF8B7D7F5}"/>
    <cellStyle name="Normal 2 2 4 5" xfId="206" xr:uid="{00000000-0005-0000-0000-0000CE000000}"/>
    <cellStyle name="Normal 2 2 4 5 2" xfId="701" xr:uid="{5BCBCC0D-DE8F-46AA-A279-2FE760AC0CE1}"/>
    <cellStyle name="Normal 2 2 4 6" xfId="346" xr:uid="{00000000-0005-0000-0000-00007A010000}"/>
    <cellStyle name="Normal 2 2 4 6 2" xfId="873" xr:uid="{7E844487-11D0-494B-A64E-BAC5A5FD0E82}"/>
    <cellStyle name="Normal 2 2 4 7" xfId="509" xr:uid="{F311E0CC-9BFE-4D16-8392-42FC82AA1E64}"/>
    <cellStyle name="Normal 2 2 5" xfId="14" xr:uid="{00000000-0005-0000-0000-00000E000000}"/>
    <cellStyle name="Normal 2 2 5 2" xfId="46" xr:uid="{00000000-0005-0000-0000-00002E000000}"/>
    <cellStyle name="Normal 2 2 5 2 2" xfId="128" xr:uid="{00000000-0005-0000-0000-000080000000}"/>
    <cellStyle name="Normal 2 2 5 2 2 2" xfId="314" xr:uid="{00000000-0005-0000-0000-00003A010000}"/>
    <cellStyle name="Normal 2 2 5 2 2 2 2" xfId="809" xr:uid="{F3E6A210-9F41-4997-9A1B-4CC2F8F2EC8E}"/>
    <cellStyle name="Normal 2 2 5 2 2 3" xfId="463" xr:uid="{00000000-0005-0000-0000-0000F0010000}"/>
    <cellStyle name="Normal 2 2 5 2 2 3 2" xfId="991" xr:uid="{3F947A41-2F9D-4E0A-8114-6F47823B9C69}"/>
    <cellStyle name="Normal 2 2 5 2 2 4" xfId="624" xr:uid="{BE533768-B9B6-4C10-B5A6-15C5EE86324E}"/>
    <cellStyle name="Normal 2 2 5 2 3" xfId="238" xr:uid="{00000000-0005-0000-0000-0000EE000000}"/>
    <cellStyle name="Normal 2 2 5 2 3 2" xfId="733" xr:uid="{56BD233F-3A57-478D-AE72-E416EBBB196F}"/>
    <cellStyle name="Normal 2 2 5 2 4" xfId="392" xr:uid="{00000000-0005-0000-0000-0000A9010000}"/>
    <cellStyle name="Normal 2 2 5 2 4 2" xfId="920" xr:uid="{48964D99-0E98-4105-9DA2-5CE82311126D}"/>
    <cellStyle name="Normal 2 2 5 2 5" xfId="543" xr:uid="{F7D08951-62B2-4485-BA82-19CC9231A51D}"/>
    <cellStyle name="Normal 2 2 5 3" xfId="47" xr:uid="{00000000-0005-0000-0000-00002F000000}"/>
    <cellStyle name="Normal 2 2 5 3 2" xfId="239" xr:uid="{00000000-0005-0000-0000-0000EF000000}"/>
    <cellStyle name="Normal 2 2 5 3 2 2" xfId="734" xr:uid="{72C2A4AA-533B-4412-BB1F-451CE1043856}"/>
    <cellStyle name="Normal 2 2 5 3 3" xfId="416" xr:uid="{00000000-0005-0000-0000-0000C1010000}"/>
    <cellStyle name="Normal 2 2 5 3 3 2" xfId="944" xr:uid="{49C196CF-8585-40B5-983E-522358C685DD}"/>
    <cellStyle name="Normal 2 2 5 3 4" xfId="544" xr:uid="{E3656F02-E11A-46B8-80B6-2B7D5EBCE319}"/>
    <cellStyle name="Normal 2 2 5 4" xfId="208" xr:uid="{00000000-0005-0000-0000-0000D0000000}"/>
    <cellStyle name="Normal 2 2 5 4 2" xfId="703" xr:uid="{EDF1F719-A28A-4D22-9F97-EBDA39B962FE}"/>
    <cellStyle name="Normal 2 2 5 5" xfId="348" xr:uid="{00000000-0005-0000-0000-00007C010000}"/>
    <cellStyle name="Normal 2 2 5 5 2" xfId="875" xr:uid="{9F536DA8-55B0-493E-BEE1-92ADF2FA4695}"/>
    <cellStyle name="Normal 2 2 5 6" xfId="511" xr:uid="{B2F074DF-E0BA-43EF-8EF6-1672FBB6D141}"/>
    <cellStyle name="Normal 2 2 6" xfId="15" xr:uid="{00000000-0005-0000-0000-00000F000000}"/>
    <cellStyle name="Normal 2 2 6 2" xfId="48" xr:uid="{00000000-0005-0000-0000-000030000000}"/>
    <cellStyle name="Normal 2 2 6 2 2" xfId="129" xr:uid="{00000000-0005-0000-0000-000081000000}"/>
    <cellStyle name="Normal 2 2 6 2 2 2" xfId="315" xr:uid="{00000000-0005-0000-0000-00003B010000}"/>
    <cellStyle name="Normal 2 2 6 2 2 2 2" xfId="810" xr:uid="{6826575A-BB90-44C7-BBDA-793273EEA615}"/>
    <cellStyle name="Normal 2 2 6 2 2 3" xfId="464" xr:uid="{00000000-0005-0000-0000-0000F1010000}"/>
    <cellStyle name="Normal 2 2 6 2 2 3 2" xfId="992" xr:uid="{D79B93DB-55E8-46EE-A119-D9B12466A309}"/>
    <cellStyle name="Normal 2 2 6 2 2 4" xfId="625" xr:uid="{C0189ECA-FCA3-4A46-9BFD-62C9296D5592}"/>
    <cellStyle name="Normal 2 2 6 2 3" xfId="240" xr:uid="{00000000-0005-0000-0000-0000F0000000}"/>
    <cellStyle name="Normal 2 2 6 2 3 2" xfId="735" xr:uid="{F89B3044-E3A7-431B-9C88-EE3143A32D35}"/>
    <cellStyle name="Normal 2 2 6 2 4" xfId="393" xr:uid="{00000000-0005-0000-0000-0000AA010000}"/>
    <cellStyle name="Normal 2 2 6 2 4 2" xfId="921" xr:uid="{BB26F796-492D-4AE5-99E5-2AA49366A65E}"/>
    <cellStyle name="Normal 2 2 6 2 5" xfId="545" xr:uid="{FDE439D3-1EBD-48F6-A4DE-93780B97C5CF}"/>
    <cellStyle name="Normal 2 2 6 3" xfId="49" xr:uid="{00000000-0005-0000-0000-000031000000}"/>
    <cellStyle name="Normal 2 2 6 3 2" xfId="241" xr:uid="{00000000-0005-0000-0000-0000F1000000}"/>
    <cellStyle name="Normal 2 2 6 3 2 2" xfId="736" xr:uid="{146B567B-BC9D-4D57-9FD3-49E73CA393C2}"/>
    <cellStyle name="Normal 2 2 6 3 3" xfId="417" xr:uid="{00000000-0005-0000-0000-0000C2010000}"/>
    <cellStyle name="Normal 2 2 6 3 3 2" xfId="945" xr:uid="{CB5923FA-410D-4F0D-AFF9-8036EFEF4E55}"/>
    <cellStyle name="Normal 2 2 6 3 4" xfId="546" xr:uid="{294D5FA1-B80B-4D3E-A614-DE928160B4C9}"/>
    <cellStyle name="Normal 2 2 6 4" xfId="209" xr:uid="{00000000-0005-0000-0000-0000D1000000}"/>
    <cellStyle name="Normal 2 2 6 4 2" xfId="704" xr:uid="{068FE843-08A8-48E6-AC52-D9FDE17A34E1}"/>
    <cellStyle name="Normal 2 2 6 5" xfId="349" xr:uid="{00000000-0005-0000-0000-00007D010000}"/>
    <cellStyle name="Normal 2 2 6 5 2" xfId="876" xr:uid="{72057445-B525-4E80-932F-280E5EB3DBDF}"/>
    <cellStyle name="Normal 2 2 6 6" xfId="512" xr:uid="{4106A487-5E5C-4D3A-991F-A50806E93149}"/>
    <cellStyle name="Normal 2 2 7" xfId="50" xr:uid="{00000000-0005-0000-0000-000032000000}"/>
    <cellStyle name="Normal 2 2 7 2" xfId="130" xr:uid="{00000000-0005-0000-0000-000082000000}"/>
    <cellStyle name="Normal 2 2 7 2 2" xfId="316" xr:uid="{00000000-0005-0000-0000-00003C010000}"/>
    <cellStyle name="Normal 2 2 7 2 2 2" xfId="811" xr:uid="{3C546256-CE56-4D9A-8E9D-61442CE4A410}"/>
    <cellStyle name="Normal 2 2 7 2 3" xfId="456" xr:uid="{00000000-0005-0000-0000-0000E9010000}"/>
    <cellStyle name="Normal 2 2 7 2 3 2" xfId="984" xr:uid="{54B9B963-59CB-483C-92B8-2903954FACF5}"/>
    <cellStyle name="Normal 2 2 7 2 4" xfId="626" xr:uid="{5128503C-6A35-4006-93E4-FABFF0C25CBC}"/>
    <cellStyle name="Normal 2 2 7 3" xfId="242" xr:uid="{00000000-0005-0000-0000-0000F2000000}"/>
    <cellStyle name="Normal 2 2 7 3 2" xfId="737" xr:uid="{4B4F0DCB-3481-4BF6-90F1-4BB6E85B6ACF}"/>
    <cellStyle name="Normal 2 2 7 4" xfId="385" xr:uid="{00000000-0005-0000-0000-0000A2010000}"/>
    <cellStyle name="Normal 2 2 7 4 2" xfId="913" xr:uid="{1C05C30D-A438-4613-98B3-89E678F9F9AC}"/>
    <cellStyle name="Normal 2 2 7 5" xfId="547" xr:uid="{41C21777-363A-4EA7-ABFB-241FF1102F14}"/>
    <cellStyle name="Normal 2 2 8" xfId="51" xr:uid="{00000000-0005-0000-0000-000033000000}"/>
    <cellStyle name="Normal 2 2 8 2" xfId="243" xr:uid="{00000000-0005-0000-0000-0000F3000000}"/>
    <cellStyle name="Normal 2 2 8 2 2" xfId="738" xr:uid="{BE78463F-9121-4636-BE37-F4E770A6A106}"/>
    <cellStyle name="Normal 2 2 8 3" xfId="409" xr:uid="{00000000-0005-0000-0000-0000BA010000}"/>
    <cellStyle name="Normal 2 2 8 3 2" xfId="937" xr:uid="{B6085A57-0B70-4D5B-8498-CFB12E6D7BE2}"/>
    <cellStyle name="Normal 2 2 8 4" xfId="548" xr:uid="{C063DF31-6F18-4CD5-B4FA-8164C7C93E85}"/>
    <cellStyle name="Normal 2 2 9" xfId="155" xr:uid="{00000000-0005-0000-0000-00009B000000}"/>
    <cellStyle name="Normal 2 2 9 2" xfId="336" xr:uid="{00000000-0005-0000-0000-000050010000}"/>
    <cellStyle name="Normal 2 2 9 2 2" xfId="831" xr:uid="{B9FE7B5D-B801-409C-8896-9BADD43744BE}"/>
    <cellStyle name="Normal 2 2 9 3" xfId="650" xr:uid="{41D3404E-8818-4884-8E96-B077C223EB0D}"/>
    <cellStyle name="Normal 2 3" xfId="16" xr:uid="{00000000-0005-0000-0000-000010000000}"/>
    <cellStyle name="Normal 2 3 2" xfId="17" xr:uid="{00000000-0005-0000-0000-000011000000}"/>
    <cellStyle name="Normal 2 3 2 2" xfId="52" xr:uid="{00000000-0005-0000-0000-000034000000}"/>
    <cellStyle name="Normal 2 3 2 2 2" xfId="131" xr:uid="{00000000-0005-0000-0000-000083000000}"/>
    <cellStyle name="Normal 2 3 2 2 2 2" xfId="317" xr:uid="{00000000-0005-0000-0000-00003D010000}"/>
    <cellStyle name="Normal 2 3 2 2 2 2 2" xfId="812" xr:uid="{07548B7B-5505-4917-85E7-8323DED46C38}"/>
    <cellStyle name="Normal 2 3 2 2 2 3" xfId="466" xr:uid="{00000000-0005-0000-0000-0000F3010000}"/>
    <cellStyle name="Normal 2 3 2 2 2 3 2" xfId="994" xr:uid="{712910C1-7B83-4999-9564-33FBD98D625A}"/>
    <cellStyle name="Normal 2 3 2 2 2 4" xfId="627" xr:uid="{2E8B2E1C-21AC-407A-BE69-137CE48A7B42}"/>
    <cellStyle name="Normal 2 3 2 2 3" xfId="244" xr:uid="{00000000-0005-0000-0000-0000F4000000}"/>
    <cellStyle name="Normal 2 3 2 2 3 2" xfId="739" xr:uid="{0E84767A-8017-41F7-918C-3FC19FA7FFD8}"/>
    <cellStyle name="Normal 2 3 2 2 4" xfId="395" xr:uid="{00000000-0005-0000-0000-0000AC010000}"/>
    <cellStyle name="Normal 2 3 2 2 4 2" xfId="923" xr:uid="{63ECEEAA-F326-4989-AEA4-025D4BB8F2D6}"/>
    <cellStyle name="Normal 2 3 2 2 5" xfId="549" xr:uid="{2D800A9C-49C9-4BD8-A0ED-2DA48C126573}"/>
    <cellStyle name="Normal 2 3 2 3" xfId="53" xr:uid="{00000000-0005-0000-0000-000035000000}"/>
    <cellStyle name="Normal 2 3 2 3 2" xfId="245" xr:uid="{00000000-0005-0000-0000-0000F5000000}"/>
    <cellStyle name="Normal 2 3 2 3 2 2" xfId="740" xr:uid="{CA3643A5-DBBB-4202-916C-CF1FA7775DF8}"/>
    <cellStyle name="Normal 2 3 2 3 3" xfId="419" xr:uid="{00000000-0005-0000-0000-0000C4010000}"/>
    <cellStyle name="Normal 2 3 2 3 3 2" xfId="947" xr:uid="{04D6C92F-2F43-46ED-A45C-DC0E582D5AB3}"/>
    <cellStyle name="Normal 2 3 2 3 4" xfId="550" xr:uid="{FA17FD9C-BC0D-456D-8789-6978445D3E4A}"/>
    <cellStyle name="Normal 2 3 2 4" xfId="211" xr:uid="{00000000-0005-0000-0000-0000D3000000}"/>
    <cellStyle name="Normal 2 3 2 4 2" xfId="706" xr:uid="{F0B1C7B5-15DE-4F01-B80E-69414955AE80}"/>
    <cellStyle name="Normal 2 3 2 5" xfId="351" xr:uid="{00000000-0005-0000-0000-00007F010000}"/>
    <cellStyle name="Normal 2 3 2 5 2" xfId="878" xr:uid="{713F0733-7A7F-4745-AF26-ACE13BDF799A}"/>
    <cellStyle name="Normal 2 3 2 6" xfId="514" xr:uid="{7F3C385B-E1C1-4446-A15C-D5975AD2C0A8}"/>
    <cellStyle name="Normal 2 3 3" xfId="54" xr:uid="{00000000-0005-0000-0000-000036000000}"/>
    <cellStyle name="Normal 2 3 3 2" xfId="132" xr:uid="{00000000-0005-0000-0000-000084000000}"/>
    <cellStyle name="Normal 2 3 3 2 2" xfId="318" xr:uid="{00000000-0005-0000-0000-00003E010000}"/>
    <cellStyle name="Normal 2 3 3 2 2 2" xfId="813" xr:uid="{6E04A6DE-C994-4844-88F1-02650DDEB66A}"/>
    <cellStyle name="Normal 2 3 3 2 3" xfId="465" xr:uid="{00000000-0005-0000-0000-0000F2010000}"/>
    <cellStyle name="Normal 2 3 3 2 3 2" xfId="993" xr:uid="{9BDF3B36-60D7-48D4-8113-DFC111F27D08}"/>
    <cellStyle name="Normal 2 3 3 2 4" xfId="628" xr:uid="{933932D5-D1B1-414B-8E90-C64DBD7271CF}"/>
    <cellStyle name="Normal 2 3 3 3" xfId="246" xr:uid="{00000000-0005-0000-0000-0000F6000000}"/>
    <cellStyle name="Normal 2 3 3 3 2" xfId="741" xr:uid="{8382CA5C-0114-4A0B-A4FC-1F0DE5CEE537}"/>
    <cellStyle name="Normal 2 3 3 4" xfId="394" xr:uid="{00000000-0005-0000-0000-0000AB010000}"/>
    <cellStyle name="Normal 2 3 3 4 2" xfId="922" xr:uid="{EF20EE40-CDC4-402F-A176-9878C5B306F3}"/>
    <cellStyle name="Normal 2 3 3 5" xfId="551" xr:uid="{E2E9E21F-814A-43E9-BADF-C87E7AB5E45C}"/>
    <cellStyle name="Normal 2 3 4" xfId="55" xr:uid="{00000000-0005-0000-0000-000037000000}"/>
    <cellStyle name="Normal 2 3 4 2" xfId="247" xr:uid="{00000000-0005-0000-0000-0000F7000000}"/>
    <cellStyle name="Normal 2 3 4 2 2" xfId="742" xr:uid="{34A020F4-5464-411A-AF2F-9651D719D7F5}"/>
    <cellStyle name="Normal 2 3 4 3" xfId="418" xr:uid="{00000000-0005-0000-0000-0000C3010000}"/>
    <cellStyle name="Normal 2 3 4 3 2" xfId="946" xr:uid="{2CA67FCB-1C78-46B0-8694-0FB284B63B49}"/>
    <cellStyle name="Normal 2 3 4 4" xfId="552" xr:uid="{8722211A-C7B7-4EC9-B8A9-6ABE66B3755E}"/>
    <cellStyle name="Normal 2 3 5" xfId="210" xr:uid="{00000000-0005-0000-0000-0000D2000000}"/>
    <cellStyle name="Normal 2 3 5 2" xfId="705" xr:uid="{D84364CC-E486-4D76-A1A9-9749E4D443F3}"/>
    <cellStyle name="Normal 2 3 6" xfId="350" xr:uid="{00000000-0005-0000-0000-00007E010000}"/>
    <cellStyle name="Normal 2 3 6 2" xfId="877" xr:uid="{885C4E76-7E53-4E8D-9D86-54681DFE29F5}"/>
    <cellStyle name="Normal 2 3 7" xfId="513" xr:uid="{78D11133-2EB8-46B8-8C4A-DCC7C5864894}"/>
    <cellStyle name="Normal 2 4" xfId="18" xr:uid="{00000000-0005-0000-0000-000012000000}"/>
    <cellStyle name="Normal 2 4 2" xfId="19" xr:uid="{00000000-0005-0000-0000-000013000000}"/>
    <cellStyle name="Normal 2 4 2 2" xfId="56" xr:uid="{00000000-0005-0000-0000-000038000000}"/>
    <cellStyle name="Normal 2 4 2 2 2" xfId="133" xr:uid="{00000000-0005-0000-0000-000085000000}"/>
    <cellStyle name="Normal 2 4 2 2 2 2" xfId="319" xr:uid="{00000000-0005-0000-0000-00003F010000}"/>
    <cellStyle name="Normal 2 4 2 2 2 2 2" xfId="814" xr:uid="{3990BD62-C300-4914-BE53-D56AE35DCB4F}"/>
    <cellStyle name="Normal 2 4 2 2 2 3" xfId="468" xr:uid="{00000000-0005-0000-0000-0000F5010000}"/>
    <cellStyle name="Normal 2 4 2 2 2 3 2" xfId="996" xr:uid="{555C65C2-430D-482C-865D-762A88628A94}"/>
    <cellStyle name="Normal 2 4 2 2 2 4" xfId="629" xr:uid="{CBEB0E60-F888-48C5-A4F6-1F6C079EFD40}"/>
    <cellStyle name="Normal 2 4 2 2 3" xfId="248" xr:uid="{00000000-0005-0000-0000-0000F8000000}"/>
    <cellStyle name="Normal 2 4 2 2 3 2" xfId="743" xr:uid="{5D1DBE17-7F31-4E54-AE59-45200B4E623E}"/>
    <cellStyle name="Normal 2 4 2 2 4" xfId="397" xr:uid="{00000000-0005-0000-0000-0000AE010000}"/>
    <cellStyle name="Normal 2 4 2 2 4 2" xfId="925" xr:uid="{BEF4DF04-3AD9-41A6-84B5-747B0FB53AB0}"/>
    <cellStyle name="Normal 2 4 2 2 5" xfId="553" xr:uid="{514BA5A8-687E-4EA9-843F-549C0E5E7852}"/>
    <cellStyle name="Normal 2 4 2 3" xfId="57" xr:uid="{00000000-0005-0000-0000-000039000000}"/>
    <cellStyle name="Normal 2 4 2 3 2" xfId="249" xr:uid="{00000000-0005-0000-0000-0000F9000000}"/>
    <cellStyle name="Normal 2 4 2 3 2 2" xfId="744" xr:uid="{1E0FE6BB-3F3B-4627-A55D-96E8C29F622B}"/>
    <cellStyle name="Normal 2 4 2 3 3" xfId="421" xr:uid="{00000000-0005-0000-0000-0000C6010000}"/>
    <cellStyle name="Normal 2 4 2 3 3 2" xfId="949" xr:uid="{098DC172-9075-45C4-80F2-7AB502216ECF}"/>
    <cellStyle name="Normal 2 4 2 3 4" xfId="554" xr:uid="{9705CC25-D2C2-4827-98A6-07DB4BDBD4F0}"/>
    <cellStyle name="Normal 2 4 2 4" xfId="213" xr:uid="{00000000-0005-0000-0000-0000D5000000}"/>
    <cellStyle name="Normal 2 4 2 4 2" xfId="708" xr:uid="{D17E7E6B-F882-493E-A8CC-45192870856D}"/>
    <cellStyle name="Normal 2 4 2 5" xfId="353" xr:uid="{00000000-0005-0000-0000-000081010000}"/>
    <cellStyle name="Normal 2 4 2 5 2" xfId="880" xr:uid="{1B95514A-45D6-41ED-BE6C-07F5BE29602C}"/>
    <cellStyle name="Normal 2 4 2 6" xfId="516" xr:uid="{8817CED7-89B1-4B0A-A544-0313F95AF926}"/>
    <cellStyle name="Normal 2 4 3" xfId="58" xr:uid="{00000000-0005-0000-0000-00003A000000}"/>
    <cellStyle name="Normal 2 4 3 2" xfId="134" xr:uid="{00000000-0005-0000-0000-000086000000}"/>
    <cellStyle name="Normal 2 4 3 2 2" xfId="320" xr:uid="{00000000-0005-0000-0000-000040010000}"/>
    <cellStyle name="Normal 2 4 3 2 2 2" xfId="815" xr:uid="{08F600C2-A4DF-4AB7-93DF-7BC1607BE9E0}"/>
    <cellStyle name="Normal 2 4 3 2 3" xfId="467" xr:uid="{00000000-0005-0000-0000-0000F4010000}"/>
    <cellStyle name="Normal 2 4 3 2 3 2" xfId="995" xr:uid="{128C3378-5E26-45BA-A30A-4BD4F1B05647}"/>
    <cellStyle name="Normal 2 4 3 2 4" xfId="630" xr:uid="{7A358DDD-C586-45DF-AD0C-9DE798B80DDB}"/>
    <cellStyle name="Normal 2 4 3 3" xfId="250" xr:uid="{00000000-0005-0000-0000-0000FA000000}"/>
    <cellStyle name="Normal 2 4 3 3 2" xfId="745" xr:uid="{D21EE88E-5653-4B07-A4BD-B0306808E611}"/>
    <cellStyle name="Normal 2 4 3 4" xfId="396" xr:uid="{00000000-0005-0000-0000-0000AD010000}"/>
    <cellStyle name="Normal 2 4 3 4 2" xfId="924" xr:uid="{D7E5E32F-557B-4D3D-9DE0-F39CD8BF2C06}"/>
    <cellStyle name="Normal 2 4 3 5" xfId="555" xr:uid="{E87C1E7F-545E-4265-8A38-23E8AFABC2B4}"/>
    <cellStyle name="Normal 2 4 4" xfId="59" xr:uid="{00000000-0005-0000-0000-00003B000000}"/>
    <cellStyle name="Normal 2 4 4 2" xfId="251" xr:uid="{00000000-0005-0000-0000-0000FB000000}"/>
    <cellStyle name="Normal 2 4 4 2 2" xfId="746" xr:uid="{FA956E60-B735-43D3-BC3A-39A5269B1EF4}"/>
    <cellStyle name="Normal 2 4 4 3" xfId="420" xr:uid="{00000000-0005-0000-0000-0000C5010000}"/>
    <cellStyle name="Normal 2 4 4 3 2" xfId="948" xr:uid="{E95D8C8C-B18E-46BC-B1B2-5273909C8AEA}"/>
    <cellStyle name="Normal 2 4 4 4" xfId="556" xr:uid="{032BDD7C-21ED-42DB-99AC-75E594B8DD91}"/>
    <cellStyle name="Normal 2 4 5" xfId="212" xr:uid="{00000000-0005-0000-0000-0000D4000000}"/>
    <cellStyle name="Normal 2 4 5 2" xfId="707" xr:uid="{BDB7076E-38D2-457D-B64B-4231FE5B2793}"/>
    <cellStyle name="Normal 2 4 6" xfId="352" xr:uid="{00000000-0005-0000-0000-000080010000}"/>
    <cellStyle name="Normal 2 4 6 2" xfId="879" xr:uid="{231ACC82-D837-4B7A-BD12-8E2F3A751B69}"/>
    <cellStyle name="Normal 2 4 7" xfId="515" xr:uid="{543BF724-E2AE-43F0-AB1B-6925689DAE5F}"/>
    <cellStyle name="Normal 2 5" xfId="20" xr:uid="{00000000-0005-0000-0000-000014000000}"/>
    <cellStyle name="Normal 2 5 2" xfId="60" xr:uid="{00000000-0005-0000-0000-00003C000000}"/>
    <cellStyle name="Normal 2 5 2 2" xfId="135" xr:uid="{00000000-0005-0000-0000-000087000000}"/>
    <cellStyle name="Normal 2 5 2 2 2" xfId="321" xr:uid="{00000000-0005-0000-0000-000041010000}"/>
    <cellStyle name="Normal 2 5 2 2 2 2" xfId="816" xr:uid="{96870EAA-7DD4-467B-A174-2E6665E90C25}"/>
    <cellStyle name="Normal 2 5 2 2 3" xfId="469" xr:uid="{00000000-0005-0000-0000-0000F6010000}"/>
    <cellStyle name="Normal 2 5 2 2 3 2" xfId="997" xr:uid="{55E3D83A-0857-4C9A-A612-6A8EED51062E}"/>
    <cellStyle name="Normal 2 5 2 2 4" xfId="631" xr:uid="{DFE932C9-D747-402D-B179-402CC26CAD7E}"/>
    <cellStyle name="Normal 2 5 2 3" xfId="252" xr:uid="{00000000-0005-0000-0000-0000FC000000}"/>
    <cellStyle name="Normal 2 5 2 3 2" xfId="747" xr:uid="{37F51901-5DD4-498B-B385-761DFF266BF0}"/>
    <cellStyle name="Normal 2 5 2 4" xfId="398" xr:uid="{00000000-0005-0000-0000-0000AF010000}"/>
    <cellStyle name="Normal 2 5 2 4 2" xfId="926" xr:uid="{667F40FD-79F2-4786-B015-B3D5A802E08A}"/>
    <cellStyle name="Normal 2 5 2 5" xfId="557" xr:uid="{11462CFA-DEB8-4AD4-A617-9B24E7735435}"/>
    <cellStyle name="Normal 2 5 3" xfId="61" xr:uid="{00000000-0005-0000-0000-00003D000000}"/>
    <cellStyle name="Normal 2 5 3 2" xfId="253" xr:uid="{00000000-0005-0000-0000-0000FD000000}"/>
    <cellStyle name="Normal 2 5 3 2 2" xfId="748" xr:uid="{D72367E7-DFAA-4FD1-A570-D4F628162632}"/>
    <cellStyle name="Normal 2 5 3 3" xfId="422" xr:uid="{00000000-0005-0000-0000-0000C7010000}"/>
    <cellStyle name="Normal 2 5 3 3 2" xfId="950" xr:uid="{A6897F8E-56BB-4F9D-96DC-8E2E7F3CBC24}"/>
    <cellStyle name="Normal 2 5 3 4" xfId="558" xr:uid="{5FCA18FC-AF0D-4178-892E-F1027B3AD9C2}"/>
    <cellStyle name="Normal 2 5 4" xfId="214" xr:uid="{00000000-0005-0000-0000-0000D6000000}"/>
    <cellStyle name="Normal 2 5 4 2" xfId="709" xr:uid="{AC3F07D2-3C29-4FD8-A098-FCDB79863B18}"/>
    <cellStyle name="Normal 2 5 5" xfId="354" xr:uid="{00000000-0005-0000-0000-000082010000}"/>
    <cellStyle name="Normal 2 5 5 2" xfId="881" xr:uid="{3C838524-A05B-41FD-96F0-D9D943FEFD6D}"/>
    <cellStyle name="Normal 2 5 6" xfId="517" xr:uid="{698868B3-9B49-4F23-BB7D-42CC1AEE807D}"/>
    <cellStyle name="Normal 2 6" xfId="21" xr:uid="{00000000-0005-0000-0000-000015000000}"/>
    <cellStyle name="Normal 2 6 2" xfId="62" xr:uid="{00000000-0005-0000-0000-00003E000000}"/>
    <cellStyle name="Normal 2 6 2 2" xfId="136" xr:uid="{00000000-0005-0000-0000-000088000000}"/>
    <cellStyle name="Normal 2 6 2 2 2" xfId="322" xr:uid="{00000000-0005-0000-0000-000042010000}"/>
    <cellStyle name="Normal 2 6 2 2 2 2" xfId="817" xr:uid="{EC67A02C-C8C2-4B6C-B6EB-481992FC1637}"/>
    <cellStyle name="Normal 2 6 2 2 3" xfId="470" xr:uid="{00000000-0005-0000-0000-0000F7010000}"/>
    <cellStyle name="Normal 2 6 2 2 3 2" xfId="998" xr:uid="{8F386456-DB7C-4D8B-A00B-72817BC79BB7}"/>
    <cellStyle name="Normal 2 6 2 2 4" xfId="632" xr:uid="{10496773-725B-4DA2-8CBD-C363C92A6E82}"/>
    <cellStyle name="Normal 2 6 2 3" xfId="254" xr:uid="{00000000-0005-0000-0000-0000FE000000}"/>
    <cellStyle name="Normal 2 6 2 3 2" xfId="749" xr:uid="{5289687A-52C5-4033-A824-4B6AEE998312}"/>
    <cellStyle name="Normal 2 6 2 4" xfId="399" xr:uid="{00000000-0005-0000-0000-0000B0010000}"/>
    <cellStyle name="Normal 2 6 2 4 2" xfId="927" xr:uid="{2113B3AD-A19A-4160-A1F2-94EB2FA45515}"/>
    <cellStyle name="Normal 2 6 2 5" xfId="559" xr:uid="{DB574E75-645D-49E1-A9A5-AC4602D735A8}"/>
    <cellStyle name="Normal 2 6 3" xfId="63" xr:uid="{00000000-0005-0000-0000-00003F000000}"/>
    <cellStyle name="Normal 2 6 3 2" xfId="255" xr:uid="{00000000-0005-0000-0000-0000FF000000}"/>
    <cellStyle name="Normal 2 6 3 2 2" xfId="750" xr:uid="{45140D86-D55C-4AEA-AB69-31ADEA5F03DE}"/>
    <cellStyle name="Normal 2 6 3 3" xfId="423" xr:uid="{00000000-0005-0000-0000-0000C8010000}"/>
    <cellStyle name="Normal 2 6 3 3 2" xfId="951" xr:uid="{8FFA01E5-7C28-4962-AFB1-B416387BCCCF}"/>
    <cellStyle name="Normal 2 6 3 4" xfId="560" xr:uid="{849E905E-D309-4A98-86A7-2F697C050EE9}"/>
    <cellStyle name="Normal 2 6 4" xfId="215" xr:uid="{00000000-0005-0000-0000-0000D7000000}"/>
    <cellStyle name="Normal 2 6 4 2" xfId="710" xr:uid="{358FC6A5-0F5B-476D-9647-E423E69A2B28}"/>
    <cellStyle name="Normal 2 6 5" xfId="355" xr:uid="{00000000-0005-0000-0000-000083010000}"/>
    <cellStyle name="Normal 2 6 5 2" xfId="882" xr:uid="{21767B59-E713-4879-9B6C-2DF4D5AFFB82}"/>
    <cellStyle name="Normal 2 6 6" xfId="518" xr:uid="{1E20A5B7-511E-4DB2-8942-1CC9A33B737C}"/>
    <cellStyle name="Normal 2 7" xfId="64" xr:uid="{00000000-0005-0000-0000-000040000000}"/>
    <cellStyle name="Normal 2 7 2" xfId="137" xr:uid="{00000000-0005-0000-0000-000089000000}"/>
    <cellStyle name="Normal 2 7 2 2" xfId="323" xr:uid="{00000000-0005-0000-0000-000043010000}"/>
    <cellStyle name="Normal 2 7 2 2 2" xfId="818" xr:uid="{24B02D60-B9EE-4579-999D-8DBE210C6336}"/>
    <cellStyle name="Normal 2 7 2 3" xfId="455" xr:uid="{00000000-0005-0000-0000-0000E8010000}"/>
    <cellStyle name="Normal 2 7 2 3 2" xfId="983" xr:uid="{C0E0D48C-BAC0-4503-8000-6CEF57A4DE4F}"/>
    <cellStyle name="Normal 2 7 2 4" xfId="633" xr:uid="{0927D009-F2F6-40AF-B920-AA13D8FCFD9E}"/>
    <cellStyle name="Normal 2 7 3" xfId="256" xr:uid="{00000000-0005-0000-0000-000000010000}"/>
    <cellStyle name="Normal 2 7 3 2" xfId="751" xr:uid="{4E5F856D-8156-416C-9322-74D67301BC6C}"/>
    <cellStyle name="Normal 2 7 4" xfId="384" xr:uid="{00000000-0005-0000-0000-0000A1010000}"/>
    <cellStyle name="Normal 2 7 4 2" xfId="912" xr:uid="{9E16F140-D9ED-463B-8E59-03FE623FD365}"/>
    <cellStyle name="Normal 2 7 5" xfId="561" xr:uid="{20D45EB7-13D9-4A4C-83C5-E7770083FCB1}"/>
    <cellStyle name="Normal 2 8" xfId="65" xr:uid="{00000000-0005-0000-0000-000041000000}"/>
    <cellStyle name="Normal 2 8 2" xfId="73" xr:uid="{00000000-0005-0000-0000-000049000000}"/>
    <cellStyle name="Normal 2 8 2 2" xfId="74" xr:uid="{00000000-0005-0000-0000-00004A000000}"/>
    <cellStyle name="Normal 2 8 2 2 2" xfId="194" xr:uid="{00000000-0005-0000-0000-0000C2000000}"/>
    <cellStyle name="Normal 2 8 2 2 2 2" xfId="490" xr:uid="{00000000-0005-0000-0000-00000B020000}"/>
    <cellStyle name="Normal 2 8 2 2 2 2 2" xfId="1018" xr:uid="{B0867978-505D-4C98-BB66-83BDA76F117C}"/>
    <cellStyle name="Normal 2 8 2 2 2 3" xfId="689" xr:uid="{FCA2C07B-5E8C-468B-8DDE-26FD1CBD5ED1}"/>
    <cellStyle name="Normal 2 8 2 2 3" xfId="262" xr:uid="{00000000-0005-0000-0000-000006010000}"/>
    <cellStyle name="Normal 2 8 2 2 3 2" xfId="757" xr:uid="{E77033B3-5532-47EA-B020-20D4661EDF40}"/>
    <cellStyle name="Normal 2 8 2 2 4" xfId="570" xr:uid="{A5E64D17-2691-4738-A030-AAE310232685}"/>
    <cellStyle name="Normal 2 8 2 3" xfId="261" xr:uid="{00000000-0005-0000-0000-000005010000}"/>
    <cellStyle name="Normal 2 8 2 3 2" xfId="756" xr:uid="{8CA1D612-C130-4327-87B1-D690AB68E19A}"/>
    <cellStyle name="Normal 2 8 2 4" xfId="478" xr:uid="{00000000-0005-0000-0000-0000FF010000}"/>
    <cellStyle name="Normal 2 8 2 4 2" xfId="1006" xr:uid="{A179A4C2-E0B6-4579-9306-6073AFEA3F91}"/>
    <cellStyle name="Normal 2 8 2 5" xfId="569" xr:uid="{52FB66A9-6510-4C0D-AC07-DEBDC2448B8A}"/>
    <cellStyle name="Normal 2 8 3" xfId="138" xr:uid="{00000000-0005-0000-0000-00008A000000}"/>
    <cellStyle name="Normal 2 8 3 2" xfId="150" xr:uid="{00000000-0005-0000-0000-000096000000}"/>
    <cellStyle name="Normal 2 8 3 2 2" xfId="152" xr:uid="{00000000-0005-0000-0000-000098000000}"/>
    <cellStyle name="Normal 2 8 3 2 2 2" xfId="167" xr:uid="{00000000-0005-0000-0000-0000A7000000}"/>
    <cellStyle name="Normal 2 8 3 2 2 2 2" xfId="492" xr:uid="{00000000-0005-0000-0000-00000D020000}"/>
    <cellStyle name="Normal 2 8 3 2 2 2 2 2" xfId="1020" xr:uid="{033716F6-4E6F-43F7-9661-F6339E306D00}"/>
    <cellStyle name="Normal 2 8 3 2 2 2 3" xfId="662" xr:uid="{D1F1B7EE-45FF-4D3A-813D-8D21CC893AE2}"/>
    <cellStyle name="Normal 2 8 3 2 2 3" xfId="184" xr:uid="{00000000-0005-0000-0000-0000B8000000}"/>
    <cellStyle name="Normal 2 8 3 2 2 3 2" xfId="494" xr:uid="{00000000-0005-0000-0000-00000F020000}"/>
    <cellStyle name="Normal 2 8 3 2 2 3 2 2" xfId="1022" xr:uid="{9529E0BE-7622-4FC8-B08D-45CE5D3B5229}"/>
    <cellStyle name="Normal 2 8 3 2 2 3 3" xfId="679" xr:uid="{7DBB5B0A-096E-4E12-A7DD-ED6C99803929}"/>
    <cellStyle name="Normal 2 8 3 2 2 4" xfId="189" xr:uid="{00000000-0005-0000-0000-0000BD000000}"/>
    <cellStyle name="Normal 2 8 3 2 2 4 2" xfId="684" xr:uid="{DF513796-EBFF-4269-8EEE-1272A0346F89}"/>
    <cellStyle name="Normal 2 8 3 2 2 5" xfId="333" xr:uid="{00000000-0005-0000-0000-00004D010000}"/>
    <cellStyle name="Normal 2 8 3 2 2 5 2" xfId="828" xr:uid="{F4D821E3-A9A5-4BD3-AF15-C17F353748DD}"/>
    <cellStyle name="Normal 2 8 3 2 2 6" xfId="647" xr:uid="{4A5C8299-049C-4077-86BB-A48B905F019C}"/>
    <cellStyle name="Normal 2 8 3 2 3" xfId="331" xr:uid="{00000000-0005-0000-0000-00004B010000}"/>
    <cellStyle name="Normal 2 8 3 2 3 2" xfId="826" xr:uid="{F319C217-B12A-4560-98C1-796C2D1D0DA5}"/>
    <cellStyle name="Normal 2 8 3 2 4" xfId="645" xr:uid="{25A4397F-802C-48B9-8B78-D9DDDEC2EBA4}"/>
    <cellStyle name="Normal 2 8 3 3" xfId="195" xr:uid="{00000000-0005-0000-0000-0000C3000000}"/>
    <cellStyle name="Normal 2 8 3 3 2" xfId="493" xr:uid="{00000000-0005-0000-0000-00000E020000}"/>
    <cellStyle name="Normal 2 8 3 3 2 2" xfId="1021" xr:uid="{54ED44F9-0BEB-4530-8737-33AAA78CC9A7}"/>
    <cellStyle name="Normal 2 8 3 3 3" xfId="690" xr:uid="{B9181CBB-204E-45BC-A282-0BD81C567765}"/>
    <cellStyle name="Normal 2 8 3 4" xfId="479" xr:uid="{00000000-0005-0000-0000-000000020000}"/>
    <cellStyle name="Normal 2 8 3 4 2" xfId="1007" xr:uid="{C54814AF-7580-4F72-B781-BAF2FF713D3B}"/>
    <cellStyle name="Normal 2 8 3 5" xfId="634" xr:uid="{B47DFDCF-0E9A-420B-8E0F-B2E333346988}"/>
    <cellStyle name="Normal 2 8 4" xfId="149" xr:uid="{00000000-0005-0000-0000-000095000000}"/>
    <cellStyle name="Normal 2 8 4 2" xfId="151" xr:uid="{00000000-0005-0000-0000-000097000000}"/>
    <cellStyle name="Normal 2 8 4 2 2" xfId="156" xr:uid="{00000000-0005-0000-0000-00009C000000}"/>
    <cellStyle name="Normal 2 8 4 2 2 2" xfId="651" xr:uid="{88A8BD33-E110-4673-ACF6-6089534CE16A}"/>
    <cellStyle name="Normal 2 8 4 2 3" xfId="168" xr:uid="{00000000-0005-0000-0000-0000A8000000}"/>
    <cellStyle name="Normal 2 8 4 2 3 2" xfId="491" xr:uid="{00000000-0005-0000-0000-00000C020000}"/>
    <cellStyle name="Normal 2 8 4 2 3 2 2" xfId="1019" xr:uid="{4159DF22-D67B-4AE1-ACF1-CCF1BA230A25}"/>
    <cellStyle name="Normal 2 8 4 2 3 3" xfId="663" xr:uid="{37311AEF-FB99-4658-AEF0-92EA0915C87C}"/>
    <cellStyle name="Normal 2 8 4 2 4" xfId="185" xr:uid="{00000000-0005-0000-0000-0000B9000000}"/>
    <cellStyle name="Normal 2 8 4 2 4 2" xfId="495" xr:uid="{00000000-0005-0000-0000-000010020000}"/>
    <cellStyle name="Normal 2 8 4 2 4 2 2" xfId="1023" xr:uid="{B2DEA361-0021-4FFF-8F4D-426610243B89}"/>
    <cellStyle name="Normal 2 8 4 2 4 3" xfId="680" xr:uid="{E74318F0-F121-4EE5-A87E-D93FCC04160F}"/>
    <cellStyle name="Normal 2 8 4 2 5" xfId="190" xr:uid="{00000000-0005-0000-0000-0000BE000000}"/>
    <cellStyle name="Normal 2 8 4 2 5 2" xfId="685" xr:uid="{3428D5AB-56E2-43ED-822C-67819C2FF235}"/>
    <cellStyle name="Normal 2 8 4 2 6" xfId="332" xr:uid="{00000000-0005-0000-0000-00004C010000}"/>
    <cellStyle name="Normal 2 8 4 2 6 2" xfId="827" xr:uid="{757BBAE2-9D89-4965-97A4-ACD8149D622A}"/>
    <cellStyle name="Normal 2 8 4 2 7" xfId="646" xr:uid="{108EEA3F-1961-472E-867A-DF10F71B5D9F}"/>
    <cellStyle name="Normal 2 8 4 3" xfId="330" xr:uid="{00000000-0005-0000-0000-00004A010000}"/>
    <cellStyle name="Normal 2 8 4 3 2" xfId="825" xr:uid="{851CE480-BB04-4859-A6D5-6206C84ABB31}"/>
    <cellStyle name="Normal 2 8 4 4" xfId="480" xr:uid="{00000000-0005-0000-0000-000001020000}"/>
    <cellStyle name="Normal 2 8 4 4 2" xfId="1008" xr:uid="{C02D4442-0630-4188-808E-3280F5E059AA}"/>
    <cellStyle name="Normal 2 8 4 5" xfId="644" xr:uid="{287AF037-2268-4377-9350-1426E4AAA16A}"/>
    <cellStyle name="Normal 2 8 5" xfId="166" xr:uid="{00000000-0005-0000-0000-0000A6000000}"/>
    <cellStyle name="Normal 2 8 5 2" xfId="481" xr:uid="{00000000-0005-0000-0000-000002020000}"/>
    <cellStyle name="Normal 2 8 5 2 2" xfId="1009" xr:uid="{9C446173-F7D2-4F33-AD96-7FE86029B3F4}"/>
    <cellStyle name="Normal 2 8 5 3" xfId="661" xr:uid="{2BF31059-D09C-4E95-BDF9-20CBB4C0224E}"/>
    <cellStyle name="Normal 2 8 6" xfId="407" xr:uid="{00000000-0005-0000-0000-0000B8010000}"/>
    <cellStyle name="Normal 2 8 6 2" xfId="935" xr:uid="{FAF71324-FADF-4B1E-A1C9-E5E39E5EDFC3}"/>
    <cellStyle name="Normal 2 8 7" xfId="562" xr:uid="{4B468A27-5A7A-421F-97EA-9671A7C0D3B7}"/>
    <cellStyle name="Normal 2 8 9" xfId="193" xr:uid="{00000000-0005-0000-0000-0000C1000000}"/>
    <cellStyle name="Normal 2 8 9 2" xfId="489" xr:uid="{00000000-0005-0000-0000-00000A020000}"/>
    <cellStyle name="Normal 2 8 9 2 2" xfId="1017" xr:uid="{CC65BD1D-7A18-4236-A750-67418B5929FA}"/>
    <cellStyle name="Normal 2 8 9 3" xfId="688" xr:uid="{FBED251E-5815-46D4-B738-23AF917563E6}"/>
    <cellStyle name="Normal 2 9" xfId="68" xr:uid="{00000000-0005-0000-0000-000044000000}"/>
    <cellStyle name="Normal 2 9 2" xfId="139" xr:uid="{00000000-0005-0000-0000-00008B000000}"/>
    <cellStyle name="Normal 2 9 2 2" xfId="635" xr:uid="{03D5B04B-CD33-4A39-9C58-BF4AD6D249A0}"/>
    <cellStyle name="Normal 2 9 3" xfId="408" xr:uid="{00000000-0005-0000-0000-0000B9010000}"/>
    <cellStyle name="Normal 2 9 3 2" xfId="936" xr:uid="{EE53BC88-E42E-4F40-9632-11482F61D591}"/>
    <cellStyle name="Normal 2 9 4" xfId="565" xr:uid="{66536D86-5CB2-4083-BC9C-72D69849FF47}"/>
    <cellStyle name="Normal 3" xfId="22" xr:uid="{00000000-0005-0000-0000-000016000000}"/>
    <cellStyle name="Normal 3 2" xfId="483" xr:uid="{00000000-0005-0000-0000-000004020000}"/>
    <cellStyle name="Normal 3 2 2" xfId="1011" xr:uid="{A57BF9CD-8FB9-431C-889C-24E51A277A77}"/>
    <cellStyle name="Normal 3 3" xfId="519" xr:uid="{77983CF7-AE47-4CE3-96A9-C23E6A078696}"/>
    <cellStyle name="Normal 4" xfId="26" xr:uid="{00000000-0005-0000-0000-00001A000000}"/>
    <cellStyle name="Normal 4 2" xfId="140" xr:uid="{00000000-0005-0000-0000-00008C000000}"/>
    <cellStyle name="Normal 4 2 2" xfId="141" xr:uid="{00000000-0005-0000-0000-00008D000000}"/>
    <cellStyle name="Normal 4 2 2 2" xfId="325" xr:uid="{00000000-0005-0000-0000-000045010000}"/>
    <cellStyle name="Normal 4 2 2 2 2" xfId="820" xr:uid="{C1E2D54B-DAEC-4354-9B32-D1BD0DBE5727}"/>
    <cellStyle name="Normal 4 2 2 3" xfId="475" xr:uid="{00000000-0005-0000-0000-0000FC010000}"/>
    <cellStyle name="Normal 4 2 2 3 2" xfId="1003" xr:uid="{2B9AFFD1-E3DF-488F-8935-A29476DAADE0}"/>
    <cellStyle name="Normal 4 2 2 4" xfId="637" xr:uid="{8D5C37C4-BB61-4199-8BE6-DE8D52E4C477}"/>
    <cellStyle name="Normal 4 2 3" xfId="324" xr:uid="{00000000-0005-0000-0000-000044010000}"/>
    <cellStyle name="Normal 4 2 3 2" xfId="819" xr:uid="{1DB0EFE6-C096-4C47-9E5B-FFB31568FE0E}"/>
    <cellStyle name="Normal 4 2 4" xfId="404" xr:uid="{00000000-0005-0000-0000-0000B5010000}"/>
    <cellStyle name="Normal 4 2 4 2" xfId="932" xr:uid="{21FB9C01-079A-4E98-B397-4B6699530F21}"/>
    <cellStyle name="Normal 4 2 5" xfId="636" xr:uid="{A3339B62-A615-474A-B4F4-9C521E2AA9B4}"/>
    <cellStyle name="Normal 4 3" xfId="142" xr:uid="{00000000-0005-0000-0000-00008E000000}"/>
    <cellStyle name="Normal 4 3 2" xfId="326" xr:uid="{00000000-0005-0000-0000-000046010000}"/>
    <cellStyle name="Normal 4 3 2 2" xfId="821" xr:uid="{578227BC-9C36-4849-8240-3F948AC7A28C}"/>
    <cellStyle name="Normal 4 3 3" xfId="440" xr:uid="{00000000-0005-0000-0000-0000D9010000}"/>
    <cellStyle name="Normal 4 3 3 2" xfId="968" xr:uid="{212481E1-BD8A-49FF-9073-D19F340DD1DA}"/>
    <cellStyle name="Normal 4 3 4" xfId="638" xr:uid="{8EA45217-F99F-4AF1-980E-2AB4CE389636}"/>
    <cellStyle name="Normal 4 4" xfId="153" xr:uid="{00000000-0005-0000-0000-000099000000}"/>
    <cellStyle name="Normal 4 4 2" xfId="169" xr:uid="{00000000-0005-0000-0000-0000A9000000}"/>
    <cellStyle name="Normal 4 4 2 2" xfId="664" xr:uid="{08AAFC4C-44F4-4C84-903D-154D0B342F1E}"/>
    <cellStyle name="Normal 4 4 3" xfId="186" xr:uid="{00000000-0005-0000-0000-0000BA000000}"/>
    <cellStyle name="Normal 4 4 3 2" xfId="496" xr:uid="{00000000-0005-0000-0000-000011020000}"/>
    <cellStyle name="Normal 4 4 3 2 2" xfId="1024" xr:uid="{9A3239C8-93BA-48F7-91FC-28BDDF2DEBD1}"/>
    <cellStyle name="Normal 4 4 3 3" xfId="681" xr:uid="{E09A3994-587E-4A30-A03F-37CDBC6A18A9}"/>
    <cellStyle name="Normal 4 4 4" xfId="191" xr:uid="{00000000-0005-0000-0000-0000BF000000}"/>
    <cellStyle name="Normal 4 4 4 2" xfId="686" xr:uid="{7FDFB82F-9A10-415F-BCDF-8A2A1A69CECD}"/>
    <cellStyle name="Normal 4 4 5" xfId="334" xr:uid="{00000000-0005-0000-0000-00004E010000}"/>
    <cellStyle name="Normal 4 4 5 2" xfId="829" xr:uid="{94105002-CC59-4BE8-BC67-89D1D1C6142E}"/>
    <cellStyle name="Normal 4 4 6" xfId="648" xr:uid="{BBA3A64F-3C1C-445D-AD20-EB4B4A7CBD55}"/>
    <cellStyle name="Normal 4 5" xfId="165" xr:uid="{00000000-0005-0000-0000-0000A5000000}"/>
    <cellStyle name="Normal 4 5 2" xfId="660" xr:uid="{5D03959D-2B35-4EE0-B068-34B2DB7F9BC8}"/>
    <cellStyle name="Normal 4 6" xfId="218" xr:uid="{00000000-0005-0000-0000-0000DA000000}"/>
    <cellStyle name="Normal 4 6 2" xfId="713" xr:uid="{D7A582DE-1CA8-418C-AB0A-F518841D7B3E}"/>
    <cellStyle name="Normal 4 7" xfId="369" xr:uid="{00000000-0005-0000-0000-000091010000}"/>
    <cellStyle name="Normal 4 7 2" xfId="896" xr:uid="{85E3BCB4-38CE-4F03-A159-190C471DD52A}"/>
    <cellStyle name="Normal 4 8" xfId="523" xr:uid="{A8418199-C564-4338-8267-549F907CFE57}"/>
    <cellStyle name="Normal 5" xfId="69" xr:uid="{00000000-0005-0000-0000-000045000000}"/>
    <cellStyle name="Normal 5 2" xfId="143" xr:uid="{00000000-0005-0000-0000-00008F000000}"/>
    <cellStyle name="Normal 5 2 2" xfId="639" xr:uid="{9CFFF320-5A47-4CB3-A8B3-80E5D9D4691F}"/>
    <cellStyle name="Normal 5 3" xfId="144" xr:uid="{00000000-0005-0000-0000-000090000000}"/>
    <cellStyle name="Normal 5 3 2" xfId="327" xr:uid="{00000000-0005-0000-0000-000047010000}"/>
    <cellStyle name="Normal 5 3 2 2" xfId="822" xr:uid="{2E535D14-A530-4539-B36A-5E47561FF1CC}"/>
    <cellStyle name="Normal 5 3 3" xfId="640" xr:uid="{6FA4E2BA-441F-4363-86F7-F5881C1A7C77}"/>
    <cellStyle name="Normal 5 4" xfId="259" xr:uid="{00000000-0005-0000-0000-000003010000}"/>
    <cellStyle name="Normal 5 4 2" xfId="754" xr:uid="{7FD34F86-EEF5-4020-A871-EDD8BC3291CD}"/>
    <cellStyle name="Normal 5 5" xfId="566" xr:uid="{B5B578B1-9C94-4D2F-AD86-E8D9E16625B4}"/>
    <cellStyle name="Normal 6" xfId="70" xr:uid="{00000000-0005-0000-0000-000046000000}"/>
    <cellStyle name="Normal 6 2" xfId="145" xr:uid="{00000000-0005-0000-0000-000091000000}"/>
    <cellStyle name="Normal 6 2 2" xfId="328" xr:uid="{00000000-0005-0000-0000-000048010000}"/>
    <cellStyle name="Normal 6 2 2 2" xfId="823" xr:uid="{96A922A0-27D2-41BC-84B7-079B634FA62C}"/>
    <cellStyle name="Normal 6 2 3" xfId="442" xr:uid="{00000000-0005-0000-0000-0000DB010000}"/>
    <cellStyle name="Normal 6 2 3 2" xfId="970" xr:uid="{0DB1FDA2-5613-4C24-9FC9-F6892CAAF36C}"/>
    <cellStyle name="Normal 6 2 4" xfId="641" xr:uid="{6930CE9E-0639-4BDF-AEA3-BE6440B61F1A}"/>
    <cellStyle name="Normal 6 3" xfId="146" xr:uid="{00000000-0005-0000-0000-000092000000}"/>
    <cellStyle name="Normal 6 4" xfId="371" xr:uid="{00000000-0005-0000-0000-000094010000}"/>
    <cellStyle name="Normal 6 4 2" xfId="899" xr:uid="{D9A7001C-223F-4E1F-B34D-AD561E6669E4}"/>
    <cellStyle name="Normal 7" xfId="157" xr:uid="{00000000-0005-0000-0000-00009D000000}"/>
    <cellStyle name="Normal 7 2" xfId="161" xr:uid="{00000000-0005-0000-0000-0000A1000000}"/>
    <cellStyle name="Normal 7 2 2" xfId="656" xr:uid="{5FBB6CE3-7E98-4377-A5B4-D4CEFE555B40}"/>
    <cellStyle name="Normal 7 3" xfId="482" xr:uid="{00000000-0005-0000-0000-000003020000}"/>
    <cellStyle name="Normal 7 3 2" xfId="1010" xr:uid="{B4DDAA4C-F3CE-45B1-8F17-662B3A6C1DE4}"/>
    <cellStyle name="Normal 7 4" xfId="652" xr:uid="{4762B665-5B70-4F41-9FC7-6C59638A7016}"/>
    <cellStyle name="Normal 8" xfId="160" xr:uid="{00000000-0005-0000-0000-0000A0000000}"/>
    <cellStyle name="Normal 8 2" xfId="484" xr:uid="{00000000-0005-0000-0000-000005020000}"/>
    <cellStyle name="Normal 8 2 2" xfId="1012" xr:uid="{9B522675-2DDC-4B9E-999C-0D584521B31F}"/>
    <cellStyle name="Normal 8 3" xfId="655" xr:uid="{E416E861-BD41-4A12-A973-1BC91E10A405}"/>
    <cellStyle name="Normal 9" xfId="170" xr:uid="{00000000-0005-0000-0000-0000AA000000}"/>
    <cellStyle name="Normal 9 2" xfId="665" xr:uid="{5018843F-A6D7-44F7-AE74-8713794B4750}"/>
    <cellStyle name="Pourcentage 2" xfId="23" xr:uid="{00000000-0005-0000-0000-000017000000}"/>
    <cellStyle name="Pourcentage 2 2" xfId="520" xr:uid="{24BD1C38-5735-4781-84D7-1A22F33FE9F1}"/>
    <cellStyle name="Pourcentage 3" xfId="24" xr:uid="{00000000-0005-0000-0000-000018000000}"/>
    <cellStyle name="Pourcentage 3 2" xfId="66" xr:uid="{00000000-0005-0000-0000-000042000000}"/>
    <cellStyle name="Pourcentage 3 2 2" xfId="147" xr:uid="{00000000-0005-0000-0000-000093000000}"/>
    <cellStyle name="Pourcentage 3 2 2 2" xfId="329" xr:uid="{00000000-0005-0000-0000-000049010000}"/>
    <cellStyle name="Pourcentage 3 2 2 2 2" xfId="824" xr:uid="{0DD8044C-3A64-4A74-A4CB-496709267388}"/>
    <cellStyle name="Pourcentage 3 2 2 3" xfId="474" xr:uid="{00000000-0005-0000-0000-0000FB010000}"/>
    <cellStyle name="Pourcentage 3 2 2 3 2" xfId="1002" xr:uid="{A1E8E32A-978B-487D-8F0C-D21FB89626FF}"/>
    <cellStyle name="Pourcentage 3 2 2 4" xfId="642" xr:uid="{9A6CF6D2-5F2F-456E-9D1C-ADF6CBD430F2}"/>
    <cellStyle name="Pourcentage 3 2 3" xfId="257" xr:uid="{00000000-0005-0000-0000-000001010000}"/>
    <cellStyle name="Pourcentage 3 2 3 2" xfId="752" xr:uid="{0D38C47E-8EE1-46B1-AF5D-8ED10054676E}"/>
    <cellStyle name="Pourcentage 3 2 4" xfId="403" xr:uid="{00000000-0005-0000-0000-0000B4010000}"/>
    <cellStyle name="Pourcentage 3 2 4 2" xfId="931" xr:uid="{02B39E80-982D-4724-AA18-D071A6D5073C}"/>
    <cellStyle name="Pourcentage 3 2 5" xfId="563" xr:uid="{4A64D567-3D2C-4905-8FD9-3121775B8ED5}"/>
    <cellStyle name="Pourcentage 3 3" xfId="67" xr:uid="{00000000-0005-0000-0000-000043000000}"/>
    <cellStyle name="Pourcentage 3 3 2" xfId="258" xr:uid="{00000000-0005-0000-0000-000002010000}"/>
    <cellStyle name="Pourcentage 3 3 2 2" xfId="753" xr:uid="{00BF1DFD-1DD2-4F52-A8FF-C28D544F7919}"/>
    <cellStyle name="Pourcentage 3 3 3" xfId="427" xr:uid="{00000000-0005-0000-0000-0000CC010000}"/>
    <cellStyle name="Pourcentage 3 3 3 2" xfId="955" xr:uid="{32A43229-D284-4854-8ED2-84BEEE2797C8}"/>
    <cellStyle name="Pourcentage 3 3 4" xfId="564" xr:uid="{8C6CDA56-CF1C-4DD3-A70A-60EDE46AC5C4}"/>
    <cellStyle name="Pourcentage 3 4" xfId="216" xr:uid="{00000000-0005-0000-0000-0000D8000000}"/>
    <cellStyle name="Pourcentage 3 4 2" xfId="711" xr:uid="{43D413B5-E375-4EBB-B3C8-8502AB9F4105}"/>
    <cellStyle name="Pourcentage 3 5" xfId="360" xr:uid="{00000000-0005-0000-0000-000088010000}"/>
    <cellStyle name="Pourcentage 3 5 2" xfId="887" xr:uid="{7F50CDDC-2FCE-4D27-AB8B-04F9B18F3F02}"/>
    <cellStyle name="Pourcentage 3 6" xfId="521" xr:uid="{F70792FB-2CD3-4F70-B2D6-E97084833F1F}"/>
    <cellStyle name="Pourcentage 4" xfId="158" xr:uid="{00000000-0005-0000-0000-00009E000000}"/>
    <cellStyle name="Pourcentage 4 2" xfId="653" xr:uid="{3CF322B2-6F8C-4710-BCCC-66C481122887}"/>
    <cellStyle name="Pourcentage 5" xfId="162" xr:uid="{00000000-0005-0000-0000-0000A2000000}"/>
    <cellStyle name="Pourcentage 5 2" xfId="657" xr:uid="{23BD3414-6952-400F-9129-3E152BC8AF25}"/>
    <cellStyle name="Pourcentage 6" xfId="171" xr:uid="{00000000-0005-0000-0000-0000AB000000}"/>
    <cellStyle name="Pourcentage 6 2" xfId="666" xr:uid="{6EFFA238-5980-4AD5-9705-EA2145E9164D}"/>
    <cellStyle name="Pourcentage 7" xfId="175" xr:uid="{00000000-0005-0000-0000-0000AF000000}"/>
    <cellStyle name="Pourcentage 7 2" xfId="670" xr:uid="{E6A701AC-AD86-4463-80BD-01B541B41183}"/>
    <cellStyle name="Satisfaisant 2" xfId="837" xr:uid="{D034FDF1-DBD8-46DE-98F7-5BD2B3337829}"/>
    <cellStyle name="Sortie 2" xfId="840" xr:uid="{73D2AF5A-4D78-495C-95B9-9E6D81A69A1F}"/>
    <cellStyle name="Standard 2" xfId="71" xr:uid="{00000000-0005-0000-0000-000047000000}"/>
    <cellStyle name="Standard 2 2" xfId="567" xr:uid="{03528AE4-D9C8-4670-848B-96A0E4A21079}"/>
    <cellStyle name="Texte explicatif 2" xfId="845" xr:uid="{DCF1AD2E-ED2E-4FB7-BBB0-568BFE1086F9}"/>
    <cellStyle name="Titre 2" xfId="361" xr:uid="{00000000-0005-0000-0000-000089010000}"/>
    <cellStyle name="Titre 2 2" xfId="888" xr:uid="{3E6C7AE6-B061-4020-9052-D71AED80F606}"/>
    <cellStyle name="Titre 1 2" xfId="833" xr:uid="{DC4FDEBE-19BD-4012-B4D2-A362C8D837B6}"/>
    <cellStyle name="Titre 2 2" xfId="834" xr:uid="{0FC13983-E516-4954-83A8-7F50B41AE08A}"/>
    <cellStyle name="Titre 3 2" xfId="835" xr:uid="{80D2BFE6-694A-4D2B-BE76-512C5951BA4D}"/>
    <cellStyle name="Titre 4 2" xfId="836" xr:uid="{6380B000-F866-47B4-9A20-208DF9C87114}"/>
    <cellStyle name="Total 2" xfId="846" xr:uid="{2943C19C-FFA6-4183-9472-0A5EDBE1F9C1}"/>
    <cellStyle name="Vérification 2" xfId="843" xr:uid="{43A2DBE9-00AA-438A-9469-1A1A72F2A2E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57150</xdr:colOff>
      <xdr:row>1</xdr:row>
      <xdr:rowOff>66675</xdr:rowOff>
    </xdr:from>
    <xdr:ext cx="400050" cy="5143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LOT%20A0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T A01"/>
    </sheetNames>
    <sheetDataSet>
      <sheetData sheetId="0"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O84"/>
  <sheetViews>
    <sheetView showGridLines="0" tabSelected="1" view="pageBreakPreview" zoomScaleNormal="100" zoomScaleSheetLayoutView="100" workbookViewId="0">
      <pane xSplit="1" ySplit="9" topLeftCell="B75" activePane="bottomRight" state="frozen"/>
      <selection pane="topRight"/>
      <selection pane="bottomLeft"/>
      <selection pane="bottomRight" activeCell="K78" sqref="K78"/>
    </sheetView>
  </sheetViews>
  <sheetFormatPr baseColWidth="10" defaultColWidth="10.83203125" defaultRowHeight="12.75" customHeight="1" x14ac:dyDescent="0.2"/>
  <cols>
    <col min="1" max="1" width="4" style="5" customWidth="1"/>
    <col min="2" max="2" width="12" style="14" customWidth="1"/>
    <col min="3" max="3" width="58" style="5" customWidth="1"/>
    <col min="4" max="4" width="10" style="5" customWidth="1"/>
    <col min="5" max="5" width="12" style="15" customWidth="1"/>
    <col min="6" max="6" width="14" style="5" bestFit="1" customWidth="1"/>
    <col min="7" max="7" width="17" style="5" customWidth="1"/>
    <col min="8" max="8" width="4.1640625" style="5" customWidth="1"/>
    <col min="9" max="12" width="10.83203125" style="5" customWidth="1"/>
    <col min="13" max="13" width="12.33203125" style="5" customWidth="1"/>
    <col min="14" max="14" width="60.83203125" style="5" customWidth="1"/>
    <col min="15" max="15" width="10.83203125" style="5" customWidth="1"/>
    <col min="16" max="16384" width="10.83203125" style="5"/>
  </cols>
  <sheetData>
    <row r="1" spans="1:15" ht="18" customHeight="1" x14ac:dyDescent="0.2">
      <c r="B1" s="4"/>
      <c r="C1" s="4"/>
      <c r="D1" s="4"/>
      <c r="E1" s="4"/>
      <c r="F1" s="4"/>
      <c r="G1" s="4"/>
    </row>
    <row r="2" spans="1:15" s="1" customFormat="1" ht="51" customHeight="1" x14ac:dyDescent="0.2">
      <c r="B2" s="57" t="s">
        <v>0</v>
      </c>
      <c r="C2" s="56"/>
      <c r="D2" s="56"/>
      <c r="E2" s="56"/>
      <c r="F2" s="56"/>
      <c r="G2" s="48"/>
    </row>
    <row r="3" spans="1:15" s="1" customFormat="1" ht="18" customHeight="1" x14ac:dyDescent="0.2">
      <c r="B3" s="74"/>
      <c r="C3" s="75"/>
      <c r="D3" s="75"/>
      <c r="E3" s="75"/>
      <c r="F3" s="75"/>
      <c r="G3" s="75"/>
    </row>
    <row r="4" spans="1:15" ht="21.6" customHeight="1" x14ac:dyDescent="0.2">
      <c r="B4" s="21" t="s">
        <v>1</v>
      </c>
      <c r="C4" s="21" t="s">
        <v>2</v>
      </c>
      <c r="D4" s="65" t="s">
        <v>3</v>
      </c>
      <c r="E4" s="56"/>
      <c r="F4" s="48"/>
      <c r="G4" s="30">
        <v>46232</v>
      </c>
    </row>
    <row r="5" spans="1:15" ht="15.6" customHeight="1" x14ac:dyDescent="0.2">
      <c r="B5" s="68"/>
      <c r="C5" s="56"/>
      <c r="D5" s="56"/>
      <c r="E5" s="56"/>
      <c r="F5" s="56"/>
      <c r="G5" s="56"/>
    </row>
    <row r="6" spans="1:15" ht="22.15" customHeight="1" x14ac:dyDescent="0.2">
      <c r="B6" s="47" t="s">
        <v>4</v>
      </c>
      <c r="C6" s="48"/>
      <c r="D6" s="69" t="s">
        <v>5</v>
      </c>
      <c r="E6" s="56"/>
      <c r="F6" s="56"/>
      <c r="G6" s="48"/>
    </row>
    <row r="7" spans="1:15" s="1" customFormat="1" ht="14.45" customHeight="1" thickBot="1" x14ac:dyDescent="0.25">
      <c r="B7" s="71"/>
      <c r="C7" s="72"/>
      <c r="D7" s="72"/>
      <c r="E7" s="72"/>
      <c r="F7" s="72"/>
      <c r="G7" s="72"/>
    </row>
    <row r="8" spans="1:15" s="2" customFormat="1" ht="26.45" customHeight="1" thickBot="1" x14ac:dyDescent="0.25">
      <c r="B8" s="58" t="s">
        <v>6</v>
      </c>
      <c r="C8" s="59"/>
      <c r="D8" s="59"/>
      <c r="E8" s="59"/>
      <c r="F8" s="59"/>
      <c r="G8" s="60"/>
    </row>
    <row r="9" spans="1:15" s="10" customFormat="1" ht="34.15" customHeight="1" x14ac:dyDescent="0.2">
      <c r="B9" s="20" t="s">
        <v>7</v>
      </c>
      <c r="C9" s="6" t="s">
        <v>8</v>
      </c>
      <c r="D9" s="7" t="s">
        <v>9</v>
      </c>
      <c r="E9" s="8" t="s">
        <v>10</v>
      </c>
      <c r="F9" s="7" t="s">
        <v>11</v>
      </c>
      <c r="G9" s="9" t="s">
        <v>12</v>
      </c>
    </row>
    <row r="10" spans="1:15" s="1" customFormat="1" ht="19.149999999999999" customHeight="1" x14ac:dyDescent="0.2">
      <c r="A10" s="17"/>
      <c r="B10" s="19"/>
      <c r="C10" s="16"/>
      <c r="D10" s="16"/>
      <c r="E10" s="16"/>
      <c r="F10" s="16"/>
      <c r="G10" s="18"/>
    </row>
    <row r="11" spans="1:15" s="1" customFormat="1" ht="21.6" customHeight="1" x14ac:dyDescent="0.2">
      <c r="A11" s="17"/>
      <c r="B11" s="55" t="s">
        <v>13</v>
      </c>
      <c r="C11" s="56"/>
      <c r="D11" s="56"/>
      <c r="E11" s="56"/>
      <c r="F11" s="56"/>
      <c r="G11" s="48"/>
      <c r="M11" s="3"/>
      <c r="N11" s="3"/>
      <c r="O11" s="11"/>
    </row>
    <row r="12" spans="1:15" ht="18.95" customHeight="1" x14ac:dyDescent="0.2">
      <c r="B12" s="31" t="s">
        <v>14</v>
      </c>
      <c r="C12" s="67" t="s">
        <v>15</v>
      </c>
      <c r="D12" s="53"/>
      <c r="E12" s="53"/>
      <c r="F12" s="53"/>
      <c r="G12" s="54"/>
    </row>
    <row r="13" spans="1:15" ht="18.95" customHeight="1" x14ac:dyDescent="0.2">
      <c r="B13" s="31" t="s">
        <v>16</v>
      </c>
      <c r="C13" s="52" t="s">
        <v>17</v>
      </c>
      <c r="D13" s="53"/>
      <c r="E13" s="53"/>
      <c r="F13" s="53"/>
      <c r="G13" s="54"/>
    </row>
    <row r="14" spans="1:15" ht="18.95" customHeight="1" x14ac:dyDescent="0.2">
      <c r="B14" s="26" t="s">
        <v>18</v>
      </c>
      <c r="C14" s="32" t="s">
        <v>129</v>
      </c>
      <c r="D14" s="22" t="s">
        <v>89</v>
      </c>
      <c r="E14" s="33"/>
      <c r="F14" s="34"/>
      <c r="G14" s="25" t="str">
        <f>IF(OR(E14="",F14=""),"",E14*F14)</f>
        <v/>
      </c>
    </row>
    <row r="15" spans="1:15" ht="18" customHeight="1" x14ac:dyDescent="0.2">
      <c r="B15" s="26" t="s">
        <v>20</v>
      </c>
      <c r="C15" s="32" t="s">
        <v>127</v>
      </c>
      <c r="D15" s="22" t="s">
        <v>89</v>
      </c>
      <c r="E15" s="33"/>
      <c r="F15" s="34"/>
      <c r="G15" s="25" t="str">
        <f>IF(OR(E15="",F15=""),"",E15*F15)</f>
        <v/>
      </c>
    </row>
    <row r="16" spans="1:15" ht="18" customHeight="1" x14ac:dyDescent="0.2">
      <c r="B16" s="26" t="s">
        <v>21</v>
      </c>
      <c r="C16" s="32" t="s">
        <v>22</v>
      </c>
      <c r="D16" s="22" t="s">
        <v>89</v>
      </c>
      <c r="E16" s="33"/>
      <c r="F16" s="34"/>
      <c r="G16" s="25" t="str">
        <f>IF(OR(E16="",F16=""),"",E16*F16)</f>
        <v/>
      </c>
    </row>
    <row r="17" spans="2:7" ht="18" customHeight="1" x14ac:dyDescent="0.2">
      <c r="B17" s="26"/>
      <c r="C17" s="35" t="s">
        <v>23</v>
      </c>
      <c r="D17" s="22"/>
      <c r="E17" s="23"/>
      <c r="F17" s="24"/>
      <c r="G17" s="27">
        <f>SUM(G15,G14,G16)</f>
        <v>0</v>
      </c>
    </row>
    <row r="18" spans="2:7" ht="18.95" customHeight="1" x14ac:dyDescent="0.2">
      <c r="B18" s="31" t="s">
        <v>24</v>
      </c>
      <c r="C18" s="52" t="s">
        <v>25</v>
      </c>
      <c r="D18" s="53"/>
      <c r="E18" s="53"/>
      <c r="F18" s="53"/>
      <c r="G18" s="54"/>
    </row>
    <row r="19" spans="2:7" ht="27" customHeight="1" x14ac:dyDescent="0.2">
      <c r="B19" s="26" t="s">
        <v>26</v>
      </c>
      <c r="C19" s="32" t="s">
        <v>126</v>
      </c>
      <c r="D19" s="22" t="s">
        <v>89</v>
      </c>
      <c r="E19" s="33"/>
      <c r="F19" s="34"/>
      <c r="G19" s="25" t="str">
        <f>IF(OR(E19="",F19=""),"",E19*F19)</f>
        <v/>
      </c>
    </row>
    <row r="20" spans="2:7" ht="18" customHeight="1" x14ac:dyDescent="0.2">
      <c r="B20" s="26" t="s">
        <v>27</v>
      </c>
      <c r="C20" s="32" t="s">
        <v>29</v>
      </c>
      <c r="D20" s="22" t="s">
        <v>52</v>
      </c>
      <c r="E20" s="33"/>
      <c r="F20" s="34"/>
      <c r="G20" s="25" t="str">
        <f>IF(OR(E20="",F20=""),"",E20*F20)</f>
        <v/>
      </c>
    </row>
    <row r="21" spans="2:7" ht="18" customHeight="1" x14ac:dyDescent="0.2">
      <c r="B21" s="26" t="s">
        <v>28</v>
      </c>
      <c r="C21" s="32" t="s">
        <v>31</v>
      </c>
      <c r="D21" s="22" t="s">
        <v>52</v>
      </c>
      <c r="E21" s="33"/>
      <c r="F21" s="34"/>
      <c r="G21" s="25" t="str">
        <f>IF(OR(E21="",F21=""),"",E21*F21)</f>
        <v/>
      </c>
    </row>
    <row r="22" spans="2:7" ht="18" customHeight="1" x14ac:dyDescent="0.2">
      <c r="B22" s="26" t="s">
        <v>30</v>
      </c>
      <c r="C22" s="32" t="s">
        <v>32</v>
      </c>
      <c r="D22" s="22" t="s">
        <v>89</v>
      </c>
      <c r="E22" s="33"/>
      <c r="F22" s="34"/>
      <c r="G22" s="25" t="str">
        <f>IF(OR(E22="",F22=""),"",E22*F22)</f>
        <v/>
      </c>
    </row>
    <row r="23" spans="2:7" ht="18" customHeight="1" x14ac:dyDescent="0.2">
      <c r="B23" s="26"/>
      <c r="C23" s="35" t="s">
        <v>33</v>
      </c>
      <c r="D23" s="22"/>
      <c r="E23" s="23"/>
      <c r="F23" s="24"/>
      <c r="G23" s="27">
        <f>SUM(G19:G22)</f>
        <v>0</v>
      </c>
    </row>
    <row r="24" spans="2:7" ht="18.95" customHeight="1" x14ac:dyDescent="0.2">
      <c r="B24" s="31" t="s">
        <v>34</v>
      </c>
      <c r="C24" s="52" t="s">
        <v>35</v>
      </c>
      <c r="D24" s="53"/>
      <c r="E24" s="53"/>
      <c r="F24" s="53"/>
      <c r="G24" s="54"/>
    </row>
    <row r="25" spans="2:7" ht="18" customHeight="1" x14ac:dyDescent="0.2">
      <c r="B25" s="26" t="s">
        <v>36</v>
      </c>
      <c r="C25" s="32" t="s">
        <v>37</v>
      </c>
      <c r="D25" s="22" t="s">
        <v>38</v>
      </c>
      <c r="E25" s="33"/>
      <c r="F25" s="34"/>
      <c r="G25" s="40" t="s">
        <v>91</v>
      </c>
    </row>
    <row r="26" spans="2:7" ht="18" customHeight="1" x14ac:dyDescent="0.2">
      <c r="B26" s="26" t="s">
        <v>39</v>
      </c>
      <c r="C26" s="32" t="s">
        <v>40</v>
      </c>
      <c r="D26" s="22" t="s">
        <v>38</v>
      </c>
      <c r="E26" s="33"/>
      <c r="F26" s="34"/>
      <c r="G26" s="25" t="str">
        <f>IF(OR(E26="",F26=""),"",E26*F26)</f>
        <v/>
      </c>
    </row>
    <row r="27" spans="2:7" ht="18" customHeight="1" x14ac:dyDescent="0.2">
      <c r="B27" s="26" t="s">
        <v>41</v>
      </c>
      <c r="C27" s="32" t="s">
        <v>42</v>
      </c>
      <c r="D27" s="22" t="s">
        <v>38</v>
      </c>
      <c r="E27" s="33"/>
      <c r="F27" s="34"/>
      <c r="G27" s="25" t="str">
        <f>IF(OR(E27="",F27=""),"",E27*F27)</f>
        <v/>
      </c>
    </row>
    <row r="28" spans="2:7" ht="18" customHeight="1" x14ac:dyDescent="0.2">
      <c r="B28" s="26" t="s">
        <v>43</v>
      </c>
      <c r="C28" s="32" t="s">
        <v>44</v>
      </c>
      <c r="D28" s="22" t="s">
        <v>38</v>
      </c>
      <c r="E28" s="33"/>
      <c r="F28" s="34"/>
      <c r="G28" s="25" t="str">
        <f>IF(OR(E28="",F28=""),"",E28*F28)</f>
        <v/>
      </c>
    </row>
    <row r="29" spans="2:7" ht="18" customHeight="1" x14ac:dyDescent="0.2">
      <c r="B29" s="26"/>
      <c r="C29" s="35" t="s">
        <v>46</v>
      </c>
      <c r="D29" s="22"/>
      <c r="E29" s="23"/>
      <c r="F29" s="24"/>
      <c r="G29" s="27">
        <f>SUM(G26:G28)</f>
        <v>0</v>
      </c>
    </row>
    <row r="30" spans="2:7" ht="18.95" customHeight="1" x14ac:dyDescent="0.2">
      <c r="B30" s="31" t="s">
        <v>47</v>
      </c>
      <c r="C30" s="52" t="s">
        <v>48</v>
      </c>
      <c r="D30" s="53"/>
      <c r="E30" s="53"/>
      <c r="F30" s="53"/>
      <c r="G30" s="54"/>
    </row>
    <row r="31" spans="2:7" ht="18" customHeight="1" x14ac:dyDescent="0.2">
      <c r="B31" s="26" t="s">
        <v>49</v>
      </c>
      <c r="C31" s="32" t="s">
        <v>45</v>
      </c>
      <c r="D31" s="22" t="s">
        <v>19</v>
      </c>
      <c r="E31" s="33"/>
      <c r="F31" s="34"/>
      <c r="G31" s="25" t="str">
        <f>IF(OR(E31="",F31=""),"",E31*F31)</f>
        <v/>
      </c>
    </row>
    <row r="32" spans="2:7" ht="18" customHeight="1" x14ac:dyDescent="0.2">
      <c r="B32" s="26" t="s">
        <v>50</v>
      </c>
      <c r="C32" s="41" t="s">
        <v>116</v>
      </c>
      <c r="D32" s="22"/>
      <c r="E32" s="23"/>
      <c r="F32" s="24"/>
      <c r="G32" s="25"/>
    </row>
    <row r="33" spans="2:7" ht="18" customHeight="1" x14ac:dyDescent="0.2">
      <c r="B33" s="26" t="s">
        <v>122</v>
      </c>
      <c r="C33" s="32" t="s">
        <v>117</v>
      </c>
      <c r="D33" s="22" t="s">
        <v>19</v>
      </c>
      <c r="E33" s="33"/>
      <c r="F33" s="34"/>
      <c r="G33" s="25" t="str">
        <f>IF(OR(E33="",F33=""),"",E33*F33)</f>
        <v/>
      </c>
    </row>
    <row r="34" spans="2:7" ht="23.25" customHeight="1" x14ac:dyDescent="0.2">
      <c r="B34" s="26" t="s">
        <v>123</v>
      </c>
      <c r="C34" s="32" t="s">
        <v>118</v>
      </c>
      <c r="D34" s="22"/>
      <c r="E34" s="23"/>
      <c r="F34" s="24"/>
      <c r="G34" s="25"/>
    </row>
    <row r="35" spans="2:7" ht="18" customHeight="1" x14ac:dyDescent="0.2">
      <c r="B35" s="26" t="s">
        <v>131</v>
      </c>
      <c r="C35" s="42" t="s">
        <v>125</v>
      </c>
      <c r="D35" s="22" t="s">
        <v>52</v>
      </c>
      <c r="E35" s="33"/>
      <c r="F35" s="34"/>
      <c r="G35" s="25" t="str">
        <f>IF(OR(E35="",F35=""),"",E35*F35)</f>
        <v/>
      </c>
    </row>
    <row r="36" spans="2:7" ht="18" customHeight="1" x14ac:dyDescent="0.2">
      <c r="B36" s="26" t="s">
        <v>132</v>
      </c>
      <c r="C36" s="42" t="s">
        <v>120</v>
      </c>
      <c r="D36" s="22" t="s">
        <v>52</v>
      </c>
      <c r="E36" s="33"/>
      <c r="F36" s="34"/>
      <c r="G36" s="25" t="str">
        <f>IF(OR(E36="",F36=""),"",E36*F36)</f>
        <v/>
      </c>
    </row>
    <row r="37" spans="2:7" ht="24" customHeight="1" x14ac:dyDescent="0.2">
      <c r="B37" s="26" t="s">
        <v>122</v>
      </c>
      <c r="C37" s="32" t="s">
        <v>128</v>
      </c>
      <c r="D37" s="22" t="s">
        <v>56</v>
      </c>
      <c r="E37" s="33"/>
      <c r="F37" s="34"/>
      <c r="G37" s="25" t="str">
        <f t="shared" ref="G37" si="0">IF(OR(E37="",F37=""),"",E37*F37)</f>
        <v/>
      </c>
    </row>
    <row r="38" spans="2:7" ht="18" customHeight="1" x14ac:dyDescent="0.2">
      <c r="B38" s="26" t="s">
        <v>123</v>
      </c>
      <c r="C38" s="32" t="s">
        <v>130</v>
      </c>
      <c r="D38" s="22" t="s">
        <v>56</v>
      </c>
      <c r="E38" s="33"/>
      <c r="F38" s="34"/>
      <c r="G38" s="40" t="s">
        <v>91</v>
      </c>
    </row>
    <row r="39" spans="2:7" ht="25.5" customHeight="1" x14ac:dyDescent="0.2">
      <c r="B39" s="26" t="s">
        <v>53</v>
      </c>
      <c r="C39" s="46" t="s">
        <v>119</v>
      </c>
      <c r="D39" s="22" t="s">
        <v>56</v>
      </c>
      <c r="E39" s="33"/>
      <c r="F39" s="34"/>
      <c r="G39" s="25" t="str">
        <f t="shared" ref="G39:G51" si="1">IF(OR(E39="",F39=""),"",E39*F39)</f>
        <v/>
      </c>
    </row>
    <row r="40" spans="2:7" ht="18" customHeight="1" x14ac:dyDescent="0.2">
      <c r="B40" s="26" t="s">
        <v>133</v>
      </c>
      <c r="C40" s="32" t="s">
        <v>88</v>
      </c>
      <c r="D40" s="22" t="s">
        <v>89</v>
      </c>
      <c r="E40" s="33"/>
      <c r="F40" s="34"/>
      <c r="G40" s="25" t="str">
        <f t="shared" si="1"/>
        <v/>
      </c>
    </row>
    <row r="41" spans="2:7" ht="24.75" customHeight="1" x14ac:dyDescent="0.2">
      <c r="B41" s="26" t="s">
        <v>134</v>
      </c>
      <c r="C41" s="32" t="s">
        <v>124</v>
      </c>
      <c r="D41" s="22" t="s">
        <v>89</v>
      </c>
      <c r="E41" s="33"/>
      <c r="F41" s="34"/>
      <c r="G41" s="25" t="str">
        <f t="shared" ref="G41" si="2">IF(OR(E41="",F41=""),"",E41*F41)</f>
        <v/>
      </c>
    </row>
    <row r="42" spans="2:7" ht="18" customHeight="1" x14ac:dyDescent="0.2">
      <c r="B42" s="26" t="s">
        <v>135</v>
      </c>
      <c r="C42" s="32" t="s">
        <v>59</v>
      </c>
      <c r="D42" s="22" t="s">
        <v>19</v>
      </c>
      <c r="E42" s="33"/>
      <c r="F42" s="34"/>
      <c r="G42" s="40" t="s">
        <v>91</v>
      </c>
    </row>
    <row r="43" spans="2:7" ht="18" customHeight="1" x14ac:dyDescent="0.2">
      <c r="B43" s="26" t="s">
        <v>54</v>
      </c>
      <c r="C43" s="41" t="s">
        <v>111</v>
      </c>
      <c r="D43" s="22"/>
      <c r="E43" s="23"/>
      <c r="F43" s="24"/>
      <c r="G43" s="25"/>
    </row>
    <row r="44" spans="2:7" ht="27" customHeight="1" x14ac:dyDescent="0.2">
      <c r="B44" s="26" t="s">
        <v>55</v>
      </c>
      <c r="C44" s="32" t="s">
        <v>51</v>
      </c>
      <c r="D44" s="43"/>
      <c r="E44" s="44"/>
      <c r="F44" s="45"/>
      <c r="G44" s="25"/>
    </row>
    <row r="45" spans="2:7" ht="18" customHeight="1" x14ac:dyDescent="0.2">
      <c r="B45" s="26"/>
      <c r="C45" s="42" t="s">
        <v>121</v>
      </c>
      <c r="D45" s="22" t="s">
        <v>52</v>
      </c>
      <c r="E45" s="33"/>
      <c r="F45" s="34"/>
      <c r="G45" s="25" t="str">
        <f>IF(OR(E45="",F45=""),"",E45*F45)</f>
        <v/>
      </c>
    </row>
    <row r="46" spans="2:7" ht="24" customHeight="1" x14ac:dyDescent="0.2">
      <c r="B46" s="26" t="s">
        <v>57</v>
      </c>
      <c r="C46" s="32" t="s">
        <v>128</v>
      </c>
      <c r="D46" s="22" t="s">
        <v>56</v>
      </c>
      <c r="E46" s="33"/>
      <c r="F46" s="34"/>
      <c r="G46" s="25" t="str">
        <f t="shared" si="1"/>
        <v/>
      </c>
    </row>
    <row r="47" spans="2:7" ht="18" customHeight="1" x14ac:dyDescent="0.2">
      <c r="B47" s="26" t="s">
        <v>57</v>
      </c>
      <c r="C47" s="32" t="s">
        <v>59</v>
      </c>
      <c r="D47" s="22" t="s">
        <v>19</v>
      </c>
      <c r="E47" s="44"/>
      <c r="F47" s="45"/>
      <c r="G47" s="40" t="s">
        <v>91</v>
      </c>
    </row>
    <row r="48" spans="2:7" ht="18" customHeight="1" x14ac:dyDescent="0.2">
      <c r="B48" s="26" t="s">
        <v>58</v>
      </c>
      <c r="C48" s="41" t="s">
        <v>112</v>
      </c>
      <c r="D48" s="22"/>
      <c r="E48" s="23"/>
      <c r="F48" s="24"/>
      <c r="G48" s="25"/>
    </row>
    <row r="49" spans="2:7" ht="18" customHeight="1" x14ac:dyDescent="0.2">
      <c r="B49" s="26" t="s">
        <v>136</v>
      </c>
      <c r="C49" s="32" t="s">
        <v>113</v>
      </c>
      <c r="D49" s="22" t="s">
        <v>19</v>
      </c>
      <c r="E49" s="33"/>
      <c r="F49" s="34"/>
      <c r="G49" s="25" t="str">
        <f t="shared" si="1"/>
        <v/>
      </c>
    </row>
    <row r="50" spans="2:7" ht="23.25" customHeight="1" x14ac:dyDescent="0.2">
      <c r="B50" s="26" t="s">
        <v>137</v>
      </c>
      <c r="C50" s="32" t="s">
        <v>114</v>
      </c>
      <c r="D50" s="22" t="s">
        <v>19</v>
      </c>
      <c r="E50" s="33"/>
      <c r="F50" s="34"/>
      <c r="G50" s="25" t="str">
        <f t="shared" si="1"/>
        <v/>
      </c>
    </row>
    <row r="51" spans="2:7" ht="18" customHeight="1" x14ac:dyDescent="0.2">
      <c r="B51" s="26" t="s">
        <v>138</v>
      </c>
      <c r="C51" s="32" t="s">
        <v>115</v>
      </c>
      <c r="D51" s="22" t="s">
        <v>19</v>
      </c>
      <c r="E51" s="33"/>
      <c r="F51" s="34"/>
      <c r="G51" s="25" t="str">
        <f t="shared" si="1"/>
        <v/>
      </c>
    </row>
    <row r="52" spans="2:7" ht="18" customHeight="1" x14ac:dyDescent="0.2">
      <c r="B52" s="26"/>
      <c r="C52" s="35" t="s">
        <v>60</v>
      </c>
      <c r="D52" s="22"/>
      <c r="E52" s="23"/>
      <c r="F52" s="24"/>
      <c r="G52" s="27">
        <f>SUM(G33,G35,G31,G36,G37,G39,G40,G46,G49,G50,G51,G45,G41)</f>
        <v>0</v>
      </c>
    </row>
    <row r="53" spans="2:7" ht="18.95" customHeight="1" x14ac:dyDescent="0.2">
      <c r="B53" s="31" t="s">
        <v>61</v>
      </c>
      <c r="C53" s="52" t="s">
        <v>62</v>
      </c>
      <c r="D53" s="53"/>
      <c r="E53" s="53"/>
      <c r="F53" s="53"/>
      <c r="G53" s="54"/>
    </row>
    <row r="54" spans="2:7" ht="18" customHeight="1" x14ac:dyDescent="0.2">
      <c r="B54" s="26" t="s">
        <v>63</v>
      </c>
      <c r="C54" s="32" t="s">
        <v>64</v>
      </c>
      <c r="D54" s="22" t="s">
        <v>90</v>
      </c>
      <c r="E54" s="33"/>
      <c r="F54" s="34"/>
      <c r="G54" s="25" t="str">
        <f>IF(OR(E54="",F54=""),"",E54*F54)</f>
        <v/>
      </c>
    </row>
    <row r="55" spans="2:7" ht="18" customHeight="1" x14ac:dyDescent="0.2">
      <c r="B55" s="26" t="s">
        <v>65</v>
      </c>
      <c r="C55" s="32" t="s">
        <v>109</v>
      </c>
      <c r="D55" s="22" t="s">
        <v>90</v>
      </c>
      <c r="E55" s="33"/>
      <c r="F55" s="34"/>
      <c r="G55" s="25" t="str">
        <f>IF(OR(E55="",F55=""),"",E55*F55)</f>
        <v/>
      </c>
    </row>
    <row r="56" spans="2:7" ht="18" customHeight="1" x14ac:dyDescent="0.2">
      <c r="B56" s="26" t="s">
        <v>66</v>
      </c>
      <c r="C56" s="32" t="s">
        <v>67</v>
      </c>
      <c r="D56" s="22" t="s">
        <v>38</v>
      </c>
      <c r="E56" s="33"/>
      <c r="F56" s="34"/>
      <c r="G56" s="25" t="str">
        <f t="shared" ref="G56:G58" si="3">IF(OR(E56="",F56=""),"",E56*F56)</f>
        <v/>
      </c>
    </row>
    <row r="57" spans="2:7" ht="25.5" customHeight="1" x14ac:dyDescent="0.2">
      <c r="B57" s="26" t="s">
        <v>68</v>
      </c>
      <c r="C57" s="32" t="s">
        <v>110</v>
      </c>
      <c r="D57" s="22" t="s">
        <v>38</v>
      </c>
      <c r="E57" s="33"/>
      <c r="F57" s="34"/>
      <c r="G57" s="25" t="str">
        <f t="shared" si="3"/>
        <v/>
      </c>
    </row>
    <row r="58" spans="2:7" ht="18" customHeight="1" x14ac:dyDescent="0.2">
      <c r="B58" s="26" t="s">
        <v>69</v>
      </c>
      <c r="C58" s="32" t="s">
        <v>71</v>
      </c>
      <c r="D58" s="22" t="s">
        <v>52</v>
      </c>
      <c r="E58" s="33"/>
      <c r="F58" s="34"/>
      <c r="G58" s="25" t="str">
        <f t="shared" si="3"/>
        <v/>
      </c>
    </row>
    <row r="59" spans="2:7" ht="18.95" customHeight="1" x14ac:dyDescent="0.2">
      <c r="B59" s="26" t="s">
        <v>70</v>
      </c>
      <c r="C59" s="32" t="s">
        <v>72</v>
      </c>
      <c r="D59" s="22" t="s">
        <v>19</v>
      </c>
      <c r="E59" s="33"/>
      <c r="F59" s="34"/>
      <c r="G59" s="40" t="s">
        <v>91</v>
      </c>
    </row>
    <row r="60" spans="2:7" ht="18" customHeight="1" x14ac:dyDescent="0.2">
      <c r="B60" s="26"/>
      <c r="C60" s="35" t="s">
        <v>73</v>
      </c>
      <c r="D60" s="22"/>
      <c r="E60" s="23"/>
      <c r="F60" s="24"/>
      <c r="G60" s="27">
        <f>SUM(G54:G58)</f>
        <v>0</v>
      </c>
    </row>
    <row r="61" spans="2:7" ht="18.95" customHeight="1" x14ac:dyDescent="0.2">
      <c r="B61" s="31" t="s">
        <v>74</v>
      </c>
      <c r="C61" s="52" t="s">
        <v>92</v>
      </c>
      <c r="D61" s="53"/>
      <c r="E61" s="53"/>
      <c r="F61" s="53"/>
      <c r="G61" s="54"/>
    </row>
    <row r="62" spans="2:7" ht="18.95" customHeight="1" x14ac:dyDescent="0.2">
      <c r="B62" s="26" t="s">
        <v>75</v>
      </c>
      <c r="C62" s="32" t="s">
        <v>106</v>
      </c>
      <c r="D62" s="22" t="s">
        <v>52</v>
      </c>
      <c r="E62" s="33"/>
      <c r="F62" s="34"/>
      <c r="G62" s="25" t="str">
        <f t="shared" ref="G62" si="4">IF(OR(E62="",F62=""),"",E62*F62)</f>
        <v/>
      </c>
    </row>
    <row r="63" spans="2:7" ht="18" customHeight="1" x14ac:dyDescent="0.2">
      <c r="B63" s="26" t="s">
        <v>76</v>
      </c>
      <c r="C63" s="32" t="s">
        <v>107</v>
      </c>
      <c r="D63" s="22" t="s">
        <v>52</v>
      </c>
      <c r="E63" s="33"/>
      <c r="F63" s="34"/>
      <c r="G63" s="25" t="str">
        <f t="shared" ref="G63:G74" si="5">IF(OR(E63="",F63=""),"",E63*F63)</f>
        <v/>
      </c>
    </row>
    <row r="64" spans="2:7" ht="18" customHeight="1" x14ac:dyDescent="0.2">
      <c r="B64" s="26" t="s">
        <v>78</v>
      </c>
      <c r="C64" s="32" t="s">
        <v>77</v>
      </c>
      <c r="D64" s="22" t="s">
        <v>89</v>
      </c>
      <c r="E64" s="33"/>
      <c r="F64" s="34"/>
      <c r="G64" s="25" t="str">
        <f>IF(OR(E64="",F64=""),"",E64*F64)</f>
        <v/>
      </c>
    </row>
    <row r="65" spans="2:7" ht="18" customHeight="1" x14ac:dyDescent="0.2">
      <c r="B65" s="26"/>
      <c r="C65" s="35" t="s">
        <v>81</v>
      </c>
      <c r="D65" s="22"/>
      <c r="E65" s="23"/>
      <c r="F65" s="24"/>
      <c r="G65" s="27">
        <f>SUM(G62:G64)</f>
        <v>0</v>
      </c>
    </row>
    <row r="66" spans="2:7" ht="18.95" customHeight="1" x14ac:dyDescent="0.2">
      <c r="B66" s="31" t="s">
        <v>93</v>
      </c>
      <c r="C66" s="52" t="s">
        <v>94</v>
      </c>
      <c r="D66" s="53"/>
      <c r="E66" s="53"/>
      <c r="F66" s="53"/>
      <c r="G66" s="54"/>
    </row>
    <row r="67" spans="2:7" ht="18" customHeight="1" x14ac:dyDescent="0.2">
      <c r="B67" s="26" t="s">
        <v>96</v>
      </c>
      <c r="C67" s="32" t="s">
        <v>108</v>
      </c>
      <c r="D67" s="22" t="s">
        <v>52</v>
      </c>
      <c r="E67" s="33"/>
      <c r="F67" s="34"/>
      <c r="G67" s="25" t="str">
        <f t="shared" si="5"/>
        <v/>
      </c>
    </row>
    <row r="68" spans="2:7" ht="18" customHeight="1" x14ac:dyDescent="0.2">
      <c r="B68" s="26" t="s">
        <v>97</v>
      </c>
      <c r="C68" s="32" t="s">
        <v>79</v>
      </c>
      <c r="D68" s="22" t="s">
        <v>56</v>
      </c>
      <c r="E68" s="33"/>
      <c r="F68" s="34"/>
      <c r="G68" s="25" t="str">
        <f t="shared" si="5"/>
        <v/>
      </c>
    </row>
    <row r="69" spans="2:7" ht="18" customHeight="1" x14ac:dyDescent="0.2">
      <c r="B69" s="26"/>
      <c r="C69" s="35" t="s">
        <v>139</v>
      </c>
      <c r="D69" s="22"/>
      <c r="E69" s="23"/>
      <c r="F69" s="24"/>
      <c r="G69" s="27">
        <f>SUM(G67:G68)</f>
        <v>0</v>
      </c>
    </row>
    <row r="70" spans="2:7" ht="18.95" customHeight="1" x14ac:dyDescent="0.2">
      <c r="B70" s="31" t="s">
        <v>98</v>
      </c>
      <c r="C70" s="52" t="s">
        <v>95</v>
      </c>
      <c r="D70" s="53"/>
      <c r="E70" s="53"/>
      <c r="F70" s="53"/>
      <c r="G70" s="54"/>
    </row>
    <row r="71" spans="2:7" ht="18" customHeight="1" x14ac:dyDescent="0.2">
      <c r="B71" s="26" t="s">
        <v>99</v>
      </c>
      <c r="C71" s="32" t="s">
        <v>102</v>
      </c>
      <c r="D71" s="22" t="s">
        <v>52</v>
      </c>
      <c r="E71" s="33"/>
      <c r="F71" s="34"/>
      <c r="G71" s="25" t="str">
        <f t="shared" si="5"/>
        <v/>
      </c>
    </row>
    <row r="72" spans="2:7" ht="18" customHeight="1" x14ac:dyDescent="0.2">
      <c r="B72" s="26" t="s">
        <v>100</v>
      </c>
      <c r="C72" s="32" t="s">
        <v>103</v>
      </c>
      <c r="D72" s="22"/>
      <c r="E72" s="33"/>
      <c r="F72" s="34"/>
      <c r="G72" s="25"/>
    </row>
    <row r="73" spans="2:7" ht="27" customHeight="1" x14ac:dyDescent="0.2">
      <c r="B73" s="26" t="s">
        <v>101</v>
      </c>
      <c r="C73" s="32" t="s">
        <v>105</v>
      </c>
      <c r="D73" s="22" t="s">
        <v>56</v>
      </c>
      <c r="E73" s="33"/>
      <c r="F73" s="34"/>
      <c r="G73" s="25" t="str">
        <f t="shared" si="5"/>
        <v/>
      </c>
    </row>
    <row r="74" spans="2:7" ht="18" customHeight="1" x14ac:dyDescent="0.2">
      <c r="B74" s="26" t="s">
        <v>104</v>
      </c>
      <c r="C74" s="32" t="s">
        <v>80</v>
      </c>
      <c r="D74" s="22" t="s">
        <v>56</v>
      </c>
      <c r="E74" s="33"/>
      <c r="F74" s="34"/>
      <c r="G74" s="25" t="str">
        <f t="shared" si="5"/>
        <v/>
      </c>
    </row>
    <row r="75" spans="2:7" ht="18" customHeight="1" x14ac:dyDescent="0.2">
      <c r="B75" s="26"/>
      <c r="C75" s="35" t="s">
        <v>140</v>
      </c>
      <c r="D75" s="22"/>
      <c r="E75" s="23"/>
      <c r="F75" s="24"/>
      <c r="G75" s="27">
        <f>SUM(G71:G74)</f>
        <v>0</v>
      </c>
    </row>
    <row r="77" spans="2:7" x14ac:dyDescent="0.2">
      <c r="B77" s="12"/>
      <c r="C77" s="63" t="s">
        <v>82</v>
      </c>
      <c r="D77" s="64"/>
      <c r="E77" s="64"/>
      <c r="F77" s="64"/>
      <c r="G77" s="36">
        <f>+G75+G69+G65+G60+G52+G29+G23+G17</f>
        <v>0</v>
      </c>
    </row>
    <row r="78" spans="2:7" x14ac:dyDescent="0.2">
      <c r="B78" s="12"/>
      <c r="C78" s="73" t="s">
        <v>83</v>
      </c>
      <c r="D78" s="56"/>
      <c r="E78" s="56"/>
      <c r="F78" s="56"/>
      <c r="G78" s="37">
        <f>G77*1.5/100</f>
        <v>0</v>
      </c>
    </row>
    <row r="79" spans="2:7" x14ac:dyDescent="0.2">
      <c r="B79" s="12"/>
      <c r="C79" s="70" t="s">
        <v>84</v>
      </c>
      <c r="D79" s="56"/>
      <c r="E79" s="56"/>
      <c r="F79" s="56"/>
      <c r="G79" s="29">
        <f>SUM(G77:G78)</f>
        <v>0</v>
      </c>
    </row>
    <row r="80" spans="2:7" x14ac:dyDescent="0.2">
      <c r="B80" s="38"/>
      <c r="C80" s="66" t="s">
        <v>85</v>
      </c>
      <c r="D80" s="56"/>
      <c r="E80" s="56"/>
      <c r="F80" s="56"/>
      <c r="G80" s="39">
        <f>G79*20/100</f>
        <v>0</v>
      </c>
    </row>
    <row r="81" spans="2:7" x14ac:dyDescent="0.2">
      <c r="B81" s="13"/>
      <c r="C81" s="61" t="s">
        <v>86</v>
      </c>
      <c r="D81" s="62"/>
      <c r="E81" s="62"/>
      <c r="F81" s="62"/>
      <c r="G81" s="28">
        <f>SUM(G79,G80)</f>
        <v>0</v>
      </c>
    </row>
    <row r="84" spans="2:7" ht="245.1" customHeight="1" x14ac:dyDescent="0.2">
      <c r="B84" s="49" t="s">
        <v>87</v>
      </c>
      <c r="C84" s="50"/>
      <c r="D84" s="50"/>
      <c r="E84" s="50"/>
      <c r="F84" s="50"/>
      <c r="G84" s="51"/>
    </row>
  </sheetData>
  <mergeCells count="24">
    <mergeCell ref="B2:G2"/>
    <mergeCell ref="B8:G8"/>
    <mergeCell ref="C30:G30"/>
    <mergeCell ref="C81:F81"/>
    <mergeCell ref="C53:G53"/>
    <mergeCell ref="C77:F77"/>
    <mergeCell ref="D4:F4"/>
    <mergeCell ref="C80:F80"/>
    <mergeCell ref="C18:G18"/>
    <mergeCell ref="C12:G12"/>
    <mergeCell ref="B5:G5"/>
    <mergeCell ref="D6:G6"/>
    <mergeCell ref="C79:F79"/>
    <mergeCell ref="B7:G7"/>
    <mergeCell ref="C78:F78"/>
    <mergeCell ref="B3:G3"/>
    <mergeCell ref="B6:C6"/>
    <mergeCell ref="B84:G84"/>
    <mergeCell ref="C24:G24"/>
    <mergeCell ref="C13:G13"/>
    <mergeCell ref="C61:G61"/>
    <mergeCell ref="B11:G11"/>
    <mergeCell ref="C66:G66"/>
    <mergeCell ref="C70:G70"/>
  </mergeCells>
  <phoneticPr fontId="0" type="noConversion"/>
  <printOptions horizontalCentered="1"/>
  <pageMargins left="0.70866141732283472" right="0.70866141732283472" top="0.74803149606299213" bottom="0.74803149606299213" header="0.31496062992125978" footer="0.31496062992125978"/>
  <pageSetup paperSize="9" scale="90" fitToHeight="0" orientation="portrait" r:id="rId1"/>
  <headerFooter scaleWithDoc="0" alignWithMargins="0">
    <oddHeader>&amp;LSCI THEIX – ZIEGLER France&amp;CConstruction d’une plateforme logistique&amp;RPhase PRO</oddHeader>
    <oddFooter>&amp;LMODUO&amp;C&amp;P/&amp;N&amp;R&amp;D</oddFooter>
  </headerFooter>
  <drawing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vt:i4>
      </vt:variant>
      <vt:variant>
        <vt:lpstr>Plages nommées</vt:lpstr>
      </vt:variant>
      <vt:variant>
        <vt:i4>2</vt:i4>
      </vt:variant>
    </vt:vector>
  </HeadingPairs>
  <TitlesOfParts>
    <vt:vector size="3" baseType="lpstr">
      <vt:lpstr>LOT 01 VRD</vt:lpstr>
      <vt:lpstr>'LOT 01 VRD'!Impression_des_titres</vt:lpstr>
      <vt:lpstr>'LOT 01 VRD'!Zone_d_impression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moduo</dc:creator>
  <cp:lastModifiedBy>Clement MARIOT</cp:lastModifiedBy>
  <cp:lastPrinted>2023-04-17T08:48:27Z</cp:lastPrinted>
  <dcterms:created xsi:type="dcterms:W3CDTF">2010-11-25T10:39:33Z</dcterms:created>
  <dcterms:modified xsi:type="dcterms:W3CDTF">2026-07-30T09:06:34Z</dcterms:modified>
</cp:coreProperties>
</file>