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E\D_DOCUMENTS_TYPES\D12_COMMUNICATION\L'INTEGRALE INGENIERIE\Annexes\01.TCO + DPGF\"/>
    </mc:Choice>
  </mc:AlternateContent>
  <xr:revisionPtr revIDLastSave="0" documentId="13_ncr:1_{59047C51-ADA0-4C0A-A590-82CF76F571D9}" xr6:coauthVersionLast="47" xr6:coauthVersionMax="47" xr10:uidLastSave="{00000000-0000-0000-0000-000000000000}"/>
  <bookViews>
    <workbookView xWindow="-108" yWindow="-108" windowWidth="23256" windowHeight="12456" tabRatio="951" xr2:uid="{00000000-000D-0000-FFFF-FFFF00000000}"/>
  </bookViews>
  <sheets>
    <sheet name="LOT A01" sheetId="224" r:id="rId1"/>
  </sheets>
  <externalReferences>
    <externalReference r:id="rId2"/>
    <externalReference r:id="rId3"/>
    <externalReference r:id="rId4"/>
  </externalReferences>
  <definedNames>
    <definedName name="___tot04">#REF!</definedName>
    <definedName name="___tot05">#REF!</definedName>
    <definedName name="___tot20">#REF!</definedName>
    <definedName name="__cib2">#REF!</definedName>
    <definedName name="__tot01">#REF!</definedName>
    <definedName name="__tot02">#REF!</definedName>
    <definedName name="__tot03">#REF!</definedName>
    <definedName name="__tot06">#REF!</definedName>
    <definedName name="__tot07">#REF!</definedName>
    <definedName name="__tot08">#REF!</definedName>
    <definedName name="__tot09">#REF!</definedName>
    <definedName name="__tot10">#REF!</definedName>
    <definedName name="__tot11">#REF!</definedName>
    <definedName name="__tot12">#REF!</definedName>
    <definedName name="__tot13">#REF!</definedName>
    <definedName name="__tot14">#REF!</definedName>
    <definedName name="__tot15">#REF!</definedName>
    <definedName name="__tot16">#REF!</definedName>
    <definedName name="__tot17">#REF!</definedName>
    <definedName name="__tot18">#REF!</definedName>
    <definedName name="__tot19">#REF!</definedName>
    <definedName name="_2Excel_BuiltIn_Print_Area_1_1">#REF!</definedName>
    <definedName name="_cib2">#REF!</definedName>
    <definedName name="_Toc132125943" localSheetId="0">'LOT A01'!#REF!</definedName>
    <definedName name="_Toc210101892" localSheetId="0">'LOT A01'!#REF!</definedName>
    <definedName name="_Toc210101894" localSheetId="0">'LOT A01'!#REF!</definedName>
    <definedName name="_Toc277768144" localSheetId="0">'LOT A01'!#REF!</definedName>
    <definedName name="_Toc277768145" localSheetId="0">'LOT A01'!#REF!</definedName>
    <definedName name="_Toc277768146" localSheetId="0">'LOT A01'!#REF!</definedName>
    <definedName name="_Toc277768147" localSheetId="0">'LOT A01'!#REF!</definedName>
    <definedName name="_Toc277768148" localSheetId="0">'LOT A01'!#REF!</definedName>
    <definedName name="_Toc277768149" localSheetId="0">'LOT A01'!#REF!</definedName>
    <definedName name="_Toc277768151" localSheetId="0">'LOT A01'!#REF!</definedName>
    <definedName name="_Toc479498543" localSheetId="0">'LOT A01'!#REF!</definedName>
    <definedName name="_Toc479498544" localSheetId="0">'LOT A01'!#REF!</definedName>
    <definedName name="_Toc490455307" localSheetId="0">'LOT A01'!#REF!</definedName>
    <definedName name="_tot01">#REF!</definedName>
    <definedName name="_tot02">#REF!</definedName>
    <definedName name="_tot03">#REF!</definedName>
    <definedName name="_tot04">#REF!</definedName>
    <definedName name="_tot05">#REF!</definedName>
    <definedName name="_tot06">#REF!</definedName>
    <definedName name="_tot07">#REF!</definedName>
    <definedName name="_tot08">#REF!</definedName>
    <definedName name="_tot09">#REF!</definedName>
    <definedName name="_tot10">#REF!</definedName>
    <definedName name="_tot11">#REF!</definedName>
    <definedName name="_tot12">#REF!</definedName>
    <definedName name="_tot13">#REF!</definedName>
    <definedName name="_tot14">#REF!</definedName>
    <definedName name="_tot15">#REF!</definedName>
    <definedName name="_tot16">#REF!</definedName>
    <definedName name="_tot17">#REF!</definedName>
    <definedName name="_tot18">#REF!</definedName>
    <definedName name="_tot19">#REF!</definedName>
    <definedName name="_tot20">#REF!</definedName>
    <definedName name="a">#REF!</definedName>
    <definedName name="arenomer">#REF!</definedName>
    <definedName name="ARRPU">#REF!</definedName>
    <definedName name="Autre">[1]Devis!#REF!</definedName>
    <definedName name="Ba">#REF!</definedName>
    <definedName name="Bacou">#REF!</definedName>
    <definedName name="Baint">#REF!</definedName>
    <definedName name="bas_de_page">#REF!</definedName>
    <definedName name="BC">#REF!</definedName>
    <definedName name="Béton">#REF!</definedName>
    <definedName name="bhy">#REF!</definedName>
    <definedName name="CFA">#REF!</definedName>
    <definedName name="CFO">#REF!</definedName>
    <definedName name="Chauffage">#REF!</definedName>
    <definedName name="cib">#REF!</definedName>
    <definedName name="coef">#REF!</definedName>
    <definedName name="coeff">#REF!</definedName>
    <definedName name="courants_faibles">#REF!</definedName>
    <definedName name="Courants_forts">#REF!</definedName>
    <definedName name="delta">#REF!</definedName>
    <definedName name="dht">#REF!</definedName>
    <definedName name="div">#REF!</definedName>
    <definedName name="Doka">#REF!</definedName>
    <definedName name="dttc">#REF!</definedName>
    <definedName name="Euro">#REF!</definedName>
    <definedName name="Excel_BuiltIn_Print_Area_1">#REF!</definedName>
    <definedName name="FIN">'[2]MINUTE DE METRE'!#REF!</definedName>
    <definedName name="ggr">#REF!</definedName>
    <definedName name="Grosb">#REF!</definedName>
    <definedName name="HA">#REF!</definedName>
    <definedName name="_xlnm.Print_Titles" localSheetId="0">'LOT A01'!$1:$9</definedName>
    <definedName name="KG">#REF!</definedName>
    <definedName name="MA">#REF!</definedName>
    <definedName name="Minutes">#REF!</definedName>
    <definedName name="MO">#REF!</definedName>
    <definedName name="PM10.0102">'[2]MINUTE DE METRE'!$N$523</definedName>
    <definedName name="PM10.0202">'[2]MINUTE DE METRE'!$N$525</definedName>
    <definedName name="PM10.0302">'[2]MINUTE DE METRE'!$N$527</definedName>
    <definedName name="PM10.0402">'[2]MINUTE DE METRE'!$N$529</definedName>
    <definedName name="PM10.0502">'[2]MINUTE DE METRE'!$N$531</definedName>
    <definedName name="PM10.1001.01">'[2]MINUTE DE METRE'!$N$496</definedName>
    <definedName name="PM10.1002.01">'[2]MINUTE DE METRE'!#REF!</definedName>
    <definedName name="PM10.1101.01">'[2]MINUTE DE METRE'!$N$498</definedName>
    <definedName name="PM10.1102.01">'[2]MINUTE DE METRE'!#REF!</definedName>
    <definedName name="PM10.1201.01">'[2]MINUTE DE METRE'!$N$500</definedName>
    <definedName name="PM10.1202.01">'[2]MINUTE DE METRE'!#REF!</definedName>
    <definedName name="PM10.2001.02">'[2]MINUTE DE METRE'!$N$503</definedName>
    <definedName name="PM10.2002.02">'[2]MINUTE DE METRE'!#REF!</definedName>
    <definedName name="PM10.2101.02">'[2]MINUTE DE METRE'!$N$505</definedName>
    <definedName name="PM10.2102.02">'[2]MINUTE DE METRE'!#REF!</definedName>
    <definedName name="PM10.2201.02">'[2]MINUTE DE METRE'!$N$507</definedName>
    <definedName name="PM10.2202.02">'[2]MINUTE DE METRE'!#REF!</definedName>
    <definedName name="PM10.2301.02">'[2]MINUTE DE METRE'!$N$509</definedName>
    <definedName name="PM10.2302.02">'[2]MINUTE DE METRE'!#REF!</definedName>
    <definedName name="PM10.3001.03">'[2]MINUTE DE METRE'!$N$512</definedName>
    <definedName name="PM10.3002.03">'[2]MINUTE DE METRE'!#REF!</definedName>
    <definedName name="PM10.3501.04">'[2]MINUTE DE METRE'!$N$515</definedName>
    <definedName name="PM10.3502.04">'[2]MINUTE DE METRE'!#REF!</definedName>
    <definedName name="PM10.3601.04">'[2]MINUTE DE METRE'!$N$517</definedName>
    <definedName name="PM10.3602.04">'[2]MINUTE DE METRE'!#REF!</definedName>
    <definedName name="PM10.4001.05">'[2]MINUTE DE METRE'!$N$520</definedName>
    <definedName name="PM10.4002.05">'[2]MINUTE DE METRE'!#REF!</definedName>
    <definedName name="PM20100ARD190003.01">'[2]MINUTE DE METRE'!$N$20</definedName>
    <definedName name="PM20100ARD1900103.02">'[2]MINUTE DE METRE'!$N$48</definedName>
    <definedName name="PM20100ARD202003.01">'[2]MINUTE DE METRE'!$N$24</definedName>
    <definedName name="PM20100cou9803.01">'[2]MINUTE DE METRE'!$N$22</definedName>
    <definedName name="PM20100kkk50003.03">'[2]MINUTE DE METRE'!$N$55</definedName>
    <definedName name="PM20100kkk50103.03">'[2]MINUTE DE METRE'!$N$57</definedName>
    <definedName name="PM20100ttt900203.02">'[2]MINUTE DE METRE'!$N$50</definedName>
    <definedName name="PM20300TC14003.01">'[2]MINUTE DE METRE'!$N$26</definedName>
    <definedName name="PM20500BAC101005">'[2]MINUTE DE METRE'!#REF!</definedName>
    <definedName name="PM20500BAC103003.01">'[2]MINUTE DE METRE'!$N$12</definedName>
    <definedName name="PM20500BAC105003.01">'[2]MINUTE DE METRE'!$N$14</definedName>
    <definedName name="PM20500BAC105005">'[2]MINUTE DE METRE'!$N$14</definedName>
    <definedName name="PM20500BAC150003.01">'[2]MINUTE DE METRE'!$N$16</definedName>
    <definedName name="PM20500BAC150005">'[2]MINUTE DE METRE'!$N$16</definedName>
    <definedName name="PM20600BAC202003.01">'[2]MINUTE DE METRE'!$N$10</definedName>
    <definedName name="PM20600BAC204003.01">'[2]MINUTE DE METRE'!$N$18</definedName>
    <definedName name="PM20600BAC204005">'[2]MINUTE DE METRE'!$N$18</definedName>
    <definedName name="PM20900ETA101003.02">'[2]MINUTE DE METRE'!$N$29</definedName>
    <definedName name="PM20900ETA102003.02">'[2]MINUTE DE METRE'!$N$33</definedName>
    <definedName name="PM20900ETA103003.02">'[2]MINUTE DE METRE'!$N$38</definedName>
    <definedName name="PM20900ETA104003.02">'[2]MINUTE DE METRE'!$N$40</definedName>
    <definedName name="PM20900ETA106003.02">'[2]MINUTE DE METRE'!$N$44</definedName>
    <definedName name="PM20900ETA109003.02">'[2]MINUTE DE METRE'!$N$46</definedName>
    <definedName name="PM20950LAN101003.02">'[2]MINUTE DE METRE'!$N$52</definedName>
    <definedName name="PM35100ALV102008.01">'[2]MINUTE DE METRE'!$N$108</definedName>
    <definedName name="PM35100ALV102008.03">'[2]MINUTE DE METRE'!$N$212</definedName>
    <definedName name="PM35100ALV104008.03">'[2]MINUTE DE METRE'!$N$214</definedName>
    <definedName name="PM35100PAP102008.01">'[2]MINUTE DE METRE'!$N$112</definedName>
    <definedName name="PM35100PAP103008.01">'[2]MINUTE DE METRE'!$N$110</definedName>
    <definedName name="PM35100PAP104008.01">'[2]MINUTE DE METRE'!$N$115</definedName>
    <definedName name="PM35100PAP301008.01">'[2]MINUTE DE METRE'!$N$117</definedName>
    <definedName name="PM35100PAP350008.01">'[2]MINUTE DE METRE'!$N$123</definedName>
    <definedName name="PM35100PAP352008.01">'[2]MINUTE DE METRE'!$N$128</definedName>
    <definedName name="PM35100PAP401008.01">'[2]MINUTE DE METRE'!$N$131</definedName>
    <definedName name="PM35200DIV101008.01">'[2]MINUTE DE METRE'!$N$134</definedName>
    <definedName name="PM35200DIV101008.03">'[2]MINUTE DE METRE'!$N$216</definedName>
    <definedName name="PM35200DIV103008.01">'[2]MINUTE DE METRE'!$N$138</definedName>
    <definedName name="PM35200DIV104008.01">'[2]MINUTE DE METRE'!$N$140</definedName>
    <definedName name="PM35200DIV106008.02">'[2]MINUTE DE METRE'!$N$145</definedName>
    <definedName name="PM35200DIV106008.03">'[2]MINUTE DE METRE'!$N$218</definedName>
    <definedName name="PM3530008.03">'[2]MINUTE DE METRE'!$N$220</definedName>
    <definedName name="PM35400MOB101008.03">'[2]MINUTE DE METRE'!$N$222</definedName>
    <definedName name="PM35400MOB102008.03">'[2]MINUTE DE METRE'!$N$224</definedName>
    <definedName name="PM35400MOB110008.03">'[2]MINUTE DE METRE'!$N$226</definedName>
    <definedName name="PM35men0108.01">'[2]MINUTE DE METRE'!$N$120</definedName>
    <definedName name="PM35men0208.01">'[2]MINUTE DE METRE'!$N$136</definedName>
    <definedName name="PM35men0308.02">'[2]MINUTE DE METRE'!$N$143</definedName>
    <definedName name="PM35men0408.02">'[2]MINUTE DE METRE'!#REF!</definedName>
    <definedName name="PM35men0508.02">'[2]MINUTE DE METRE'!$N$147</definedName>
    <definedName name="PM35men0608.02">'[2]MINUTE DE METRE'!$N$166</definedName>
    <definedName name="PM35men0708.02">'[2]MINUTE DE METRE'!$N$184</definedName>
    <definedName name="PM35men0808.02">'[2]MINUTE DE METRE'!$N$186</definedName>
    <definedName name="PM35men0908.02">'[2]MINUTE DE METRE'!$N$157</definedName>
    <definedName name="PM35men1008.02">'[2]MINUTE DE METRE'!$N$188</definedName>
    <definedName name="PM35men1108.02">'[2]MINUTE DE METRE'!$N$190</definedName>
    <definedName name="PM35men1208.02">'[2]MINUTE DE METRE'!$N$192</definedName>
    <definedName name="PM35men1308.02">'[2]MINUTE DE METRE'!$N$194</definedName>
    <definedName name="PM35men1408.02">'[2]MINUTE DE METRE'!$N$196</definedName>
    <definedName name="PM35men152308.02">'[2]MINUTE DE METRE'!$N$198</definedName>
    <definedName name="PM35men2008.03">'[2]MINUTE DE METRE'!$N$228</definedName>
    <definedName name="PM35men3008.02">'[2]MINUTE DE METRE'!$N$164</definedName>
    <definedName name="PM35men5008.02">'[2]MINUTE DE METRE'!$N$180</definedName>
    <definedName name="PM35men5108.02">'[2]MINUTE DE METRE'!$N$182</definedName>
    <definedName name="PM35men6008.02">'[2]MINUTE DE METRE'!$N$203</definedName>
    <definedName name="PM35men6508.02">'[2]MINUTE DE METRE'!$N$205</definedName>
    <definedName name="PM35men6608.02">'[2]MINUTE DE METRE'!$N$207</definedName>
    <definedName name="PM35men6708.02">'[2]MINUTE DE METRE'!$N$209</definedName>
    <definedName name="PM35zzmn5608.01">'[2]MINUTE DE METRE'!$N$126</definedName>
    <definedName name="PM40100PLA108009.01">'[2]MINUTE DE METRE'!$N$232</definedName>
    <definedName name="PM40100PLA108009.02">'[2]MINUTE DE METRE'!$N$271</definedName>
    <definedName name="PM40100PLA700009.01">'[2]MINUTE DE METRE'!$N$234</definedName>
    <definedName name="PM40100PLA700009.02">'[2]MINUTE DE METRE'!$N$273</definedName>
    <definedName name="PM40200CPL100009.02">'[2]MINUTE DE METRE'!$N$275</definedName>
    <definedName name="PM40200CPL101009.02">'[2]MINUTE DE METRE'!$N$277</definedName>
    <definedName name="PM40200STYL100009.01">'[2]MINUTE DE METRE'!$N$236</definedName>
    <definedName name="PM40200STYL101509.01">'[2]MINUTE DE METRE'!$N$258</definedName>
    <definedName name="PM40400PLP201009.01">'[2]MINUTE DE METRE'!$N$260</definedName>
    <definedName name="PM40pla8009.02">'[2]MINUTE DE METRE'!$N$279</definedName>
    <definedName name="PM40pla80109.01">'[2]MINUTE DE METRE'!$N$264</definedName>
    <definedName name="PM40pla90009.01">'[2]MINUTE DE METRE'!$N$266</definedName>
    <definedName name="PM40PLAT0109.01">'[2]MINUTE DE METRE'!$N$262</definedName>
    <definedName name="PM40ser0106.02">'[2]MINUTE DE METRE'!$N$64</definedName>
    <definedName name="PM40ser0106.03">'[2]MINUTE DE METRE'!#REF!</definedName>
    <definedName name="PM40ser0206.02">'[2]MINUTE DE METRE'!$N$68</definedName>
    <definedName name="PM40ser0206.03">'[2]MINUTE DE METRE'!#REF!</definedName>
    <definedName name="PM40ser0306.02">'[2]MINUTE DE METRE'!$N$66</definedName>
    <definedName name="PM40ser0306.03">'[2]MINUTE DE METRE'!#REF!</definedName>
    <definedName name="PM40ser1006.03">'[2]MINUTE DE METRE'!$N$71</definedName>
    <definedName name="PM40ser1106.03">'[2]MINUTE DE METRE'!$N$73</definedName>
    <definedName name="PM40ser1206.03">'[2]MINUTE DE METRE'!$N$75</definedName>
    <definedName name="PM40ser12106.03">'[2]MINUTE DE METRE'!$N$77</definedName>
    <definedName name="PM40ser1306.03">'[2]MINUTE DE METRE'!$N$81</definedName>
    <definedName name="PM40ser1406.03">'[2]MINUTE DE METRE'!$N$87</definedName>
    <definedName name="PM40ser2006.03">'[2]MINUTE DE METRE'!$N$89</definedName>
    <definedName name="PM40ser2206.03">'[2]MINUTE DE METRE'!$N$91</definedName>
    <definedName name="PM40ser2406.03">'[2]MINUTE DE METRE'!$N$93</definedName>
    <definedName name="PM40ser2606.03">'[2]MINUTE DE METRE'!$N$95</definedName>
    <definedName name="PM40ser2706.03">'[2]MINUTE DE METRE'!$N$99</definedName>
    <definedName name="PM40ser2806.03">'[2]MINUTE DE METRE'!$N$97</definedName>
    <definedName name="PM40ser3006.03">'[2]MINUTE DE METRE'!$N$79</definedName>
    <definedName name="PM40SER9902">'[2]MINUTE DE METRE'!$N$4</definedName>
    <definedName name="PM40SER9904">'[2]MINUTE DE METRE'!$N$4</definedName>
    <definedName name="PM40ser991202">'[2]MINUTE DE METRE'!$N$6</definedName>
    <definedName name="PM45100FIB101012">'[2]MINUTE DE METRE'!$N$389</definedName>
    <definedName name="PM45100FIB102012">'[2]MINUTE DE METRE'!$N$401</definedName>
    <definedName name="PM45100FIB110012">'[2]MINUTE DE METRE'!$N$404</definedName>
    <definedName name="PM45100FIB200012">'[2]MINUTE DE METRE'!$N$412</definedName>
    <definedName name="PM45200FPM400012">'[2]MINUTE DE METRE'!$N$418</definedName>
    <definedName name="PM45fp5512">'[2]MINUTE DE METRE'!$N$407</definedName>
    <definedName name="PM45pla99009.01">'[2]MINUTE DE METRE'!$N$268</definedName>
    <definedName name="PM45zzplaf0112">'[2]MINUTE DE METRE'!$N$421</definedName>
    <definedName name="PM475fp55812">'[2]MINUTE DE METRE'!$N$415</definedName>
    <definedName name="PM50200SOL100010.01">'[2]MINUTE DE METRE'!$N$283</definedName>
    <definedName name="PM50200SOL100110.02">'[2]MINUTE DE METRE'!$N$336</definedName>
    <definedName name="PM50200SOL101810.01">'[2]MINUTE DE METRE'!$N$310</definedName>
    <definedName name="PM50200SOL102010.01">'[2]MINUTE DE METRE'!$N$317</definedName>
    <definedName name="PM50300SOL0500110.02">'[2]MINUTE DE METRE'!$N$340</definedName>
    <definedName name="PM50300SOL101010.01">'[2]MINUTE DE METRE'!$N$306</definedName>
    <definedName name="PM50300SOL102010.01">'[2]MINUTE DE METRE'!$N$285</definedName>
    <definedName name="PM50300SOL150010.01">'[2]MINUTE DE METRE'!$N$308</definedName>
    <definedName name="PM50400MOQ1020110.02">'[2]MINUTE DE METRE'!$N$338</definedName>
    <definedName name="PM50400MOQ105010.01">'[2]MINUTE DE METRE'!$N$323</definedName>
    <definedName name="PM50500DIV101010.01">'[2]MINUTE DE METRE'!$N$327</definedName>
    <definedName name="PM50500DIV102010.01">'[2]MINUTE DE METRE'!$N$329</definedName>
    <definedName name="PM50sol0110.01">'[2]MINUTE DE METRE'!$N$319</definedName>
    <definedName name="PM50sszz0510.01">'[2]MINUTE DE METRE'!$N$321</definedName>
    <definedName name="PM50sszz12010.01">'[2]MINUTE DE METRE'!$N$325</definedName>
    <definedName name="PM55100CAR100011.01">'[2]MINUTE DE METRE'!$N$344</definedName>
    <definedName name="PM55100CAR200011.01">'[2]MINUTE DE METRE'!$N$351</definedName>
    <definedName name="PM55100CAR2000111.02">'[2]MINUTE DE METRE'!$N$382</definedName>
    <definedName name="PM55100CAR400011.01">'[2]MINUTE DE METRE'!$N$364</definedName>
    <definedName name="PM55100rrs0111.01">'[2]MINUTE DE METRE'!$N$346</definedName>
    <definedName name="PM55200FAI100011.01">'[2]MINUTE DE METRE'!$N$368</definedName>
    <definedName name="PM55200FAI1000111.02">'[2]MINUTE DE METRE'!$N$386</definedName>
    <definedName name="PM55200FAI200011.01">'[2]MINUTE DE METRE'!$N$375</definedName>
    <definedName name="PM55300PLIN100011.01">'[2]MINUTE DE METRE'!$N$348</definedName>
    <definedName name="PM55300PLIN1000111.01">'[2]MINUTE DE METRE'!$N$358</definedName>
    <definedName name="PM55300PLIN1000111.02">'[2]MINUTE DE METRE'!$N$384</definedName>
    <definedName name="PM55300PLIN200011.01">'[2]MINUTE DE METRE'!$N$366</definedName>
    <definedName name="PM55400DIV102010.01">'[2]MINUTE DE METRE'!$N$331</definedName>
    <definedName name="PM55400DIV105011.01">'[2]MINUTE DE METRE'!$N$377</definedName>
    <definedName name="PM55400DIV200011.01">'[2]MINUTE DE METRE'!$N$379</definedName>
    <definedName name="PM55sszz5010.01">'[2]MINUTE DE METRE'!$N$333</definedName>
    <definedName name="PM60100PIN1020113.02">'[2]MINUTE DE METRE'!$N$456</definedName>
    <definedName name="PM60100PIN10201213.02">'[2]MINUTE DE METRE'!$N$458</definedName>
    <definedName name="PM60100PIN103013.01">'[2]MINUTE DE METRE'!$N$427</definedName>
    <definedName name="PM60100PIN1040113.02">'[2]MINUTE DE METRE'!$N$460</definedName>
    <definedName name="PM60100PIN104013.01">'[2]MINUTE DE METRE'!$N$431</definedName>
    <definedName name="PM60100PIN1040213.01">'[2]MINUTE DE METRE'!$N$433</definedName>
    <definedName name="PM60100PIN1040313.01">'[2]MINUTE DE METRE'!$N$429</definedName>
    <definedName name="PM60100PIN1100113.01">'[2]MINUTE DE METRE'!$N$437</definedName>
    <definedName name="PM60100PIN110013.01">'[2]MINUTE DE METRE'!$N$439</definedName>
    <definedName name="PM60100PIN120013.01">'[2]MINUTE DE METRE'!$N$441</definedName>
    <definedName name="PM60100PIN200013.01">'[2]MINUTE DE METRE'!$N$435</definedName>
    <definedName name="PM60100PIN201013.01">'[2]MINUTE DE METRE'!$N$443</definedName>
    <definedName name="PM60100PIN300013.01">'[2]MINUTE DE METRE'!$N$445</definedName>
    <definedName name="PM60100PIN400013.01">'[2]MINUTE DE METRE'!$N$449</definedName>
    <definedName name="PM60100PIN9000113.02">'[2]MINUTE DE METRE'!$N$462</definedName>
    <definedName name="PM60100PIN900013.01">'[2]MINUTE DE METRE'!$N$451</definedName>
    <definedName name="PM60200REV200013.01">'[2]MINUTE DE METRE'!$N$447</definedName>
    <definedName name="PM60200REV300013.02">'[2]MINUTE DE METRE'!$N$454</definedName>
    <definedName name="PM60pein0113.01">'[2]MINUTE DE METRE'!$N$425</definedName>
    <definedName name="PM80chauf0115">'[2]MINUTE DE METRE'!$N$468</definedName>
    <definedName name="PM80elec0116">'[2]MINUTE DE METRE'!$N$471</definedName>
    <definedName name="PM80elec0217">'[2]MINUTE DE METRE'!$N$474</definedName>
    <definedName name="PM80occ0107">'[2]MINUTE DE METRE'!$N$102</definedName>
    <definedName name="PM80occ0207">'[2]MINUTE DE METRE'!$N$104</definedName>
    <definedName name="PM80plom0214">'[2]MINUTE DE METRE'!$N$465</definedName>
    <definedName name="PM90ASC1017">'[2]MINUTE DE METRE'!$N$479</definedName>
    <definedName name="PM90pa0118">'[2]MINUTE DE METRE'!$N$482</definedName>
    <definedName name="PM90pa0218">'[2]MINUTE DE METRE'!$N$484</definedName>
    <definedName name="PM90pa0318">'[2]MINUTE DE METRE'!$N$486</definedName>
    <definedName name="PM90pa0418">'[2]MINUTE DE METRE'!$N$488</definedName>
    <definedName name="PM90pa0518">'[2]MINUTE DE METRE'!$N$490</definedName>
    <definedName name="Pot">#REF!</definedName>
    <definedName name="Poutre">#REF!</definedName>
    <definedName name="PV20500BAC1010">'[2]MINUTE DE METRE'!#REF!</definedName>
    <definedName name="PV35men04">'[2]MINUTE DE METRE'!#REF!</definedName>
    <definedName name="QQ10.0102">'[2]MINUTE DE METRE'!$E$523</definedName>
    <definedName name="QQ10.0202">'[2]MINUTE DE METRE'!$E$525</definedName>
    <definedName name="QQ10.0302">'[2]MINUTE DE METRE'!$E$527</definedName>
    <definedName name="QQ10.0402">'[2]MINUTE DE METRE'!$E$529</definedName>
    <definedName name="QQ10.0502">'[2]MINUTE DE METRE'!$E$531</definedName>
    <definedName name="QQ10.1001.01">'[2]MINUTE DE METRE'!$E$496</definedName>
    <definedName name="QQ10.1002.01">'[2]MINUTE DE METRE'!#REF!</definedName>
    <definedName name="QQ10.1101.01">'[2]MINUTE DE METRE'!$E$498</definedName>
    <definedName name="QQ10.1102.01">'[2]MINUTE DE METRE'!#REF!</definedName>
    <definedName name="QQ10.1201.01">'[2]MINUTE DE METRE'!$E$500</definedName>
    <definedName name="QQ10.1202.01">'[2]MINUTE DE METRE'!#REF!</definedName>
    <definedName name="QQ10.2001.02">'[2]MINUTE DE METRE'!$E$503</definedName>
    <definedName name="QQ10.2002.02">'[2]MINUTE DE METRE'!#REF!</definedName>
    <definedName name="QQ10.2101.02">'[2]MINUTE DE METRE'!$E$505</definedName>
    <definedName name="QQ10.2102.02">'[2]MINUTE DE METRE'!#REF!</definedName>
    <definedName name="QQ10.2201.02">'[2]MINUTE DE METRE'!$E$507</definedName>
    <definedName name="QQ10.2202.02">'[2]MINUTE DE METRE'!#REF!</definedName>
    <definedName name="QQ10.2301.02">'[2]MINUTE DE METRE'!$E$509</definedName>
    <definedName name="QQ10.2302.02">'[2]MINUTE DE METRE'!#REF!</definedName>
    <definedName name="QQ10.3001.03">'[2]MINUTE DE METRE'!$E$512</definedName>
    <definedName name="QQ10.3002.03">'[2]MINUTE DE METRE'!#REF!</definedName>
    <definedName name="QQ10.3501.04">'[2]MINUTE DE METRE'!$E$515</definedName>
    <definedName name="QQ10.3502.04">'[2]MINUTE DE METRE'!#REF!</definedName>
    <definedName name="QQ10.3601.04">'[2]MINUTE DE METRE'!$E$517</definedName>
    <definedName name="QQ10.3602.04">'[2]MINUTE DE METRE'!#REF!</definedName>
    <definedName name="QQ10.4001.05">'[2]MINUTE DE METRE'!$E$520</definedName>
    <definedName name="QQ10.4002.05">'[2]MINUTE DE METRE'!#REF!</definedName>
    <definedName name="QQ20100ARD190003.01">'[2]MINUTE DE METRE'!$E$20</definedName>
    <definedName name="QQ20100ARD1900103.02">'[2]MINUTE DE METRE'!$E$48</definedName>
    <definedName name="QQ20100ARD202003.01">'[2]MINUTE DE METRE'!$E$24</definedName>
    <definedName name="QQ20100cou9803.01">'[2]MINUTE DE METRE'!$E$22</definedName>
    <definedName name="QQ20100kkk50003.03">'[2]MINUTE DE METRE'!$E$55</definedName>
    <definedName name="QQ20100kkk50103.03">'[2]MINUTE DE METRE'!$E$57</definedName>
    <definedName name="QQ20100ttt900203.02">'[2]MINUTE DE METRE'!$E$50</definedName>
    <definedName name="QQ20300TC14003.01">'[2]MINUTE DE METRE'!$E$26</definedName>
    <definedName name="QQ20500BAC101005">'[2]MINUTE DE METRE'!#REF!</definedName>
    <definedName name="QQ20500BAC103003.01">'[2]MINUTE DE METRE'!$E$12</definedName>
    <definedName name="QQ20500BAC105003.01">'[2]MINUTE DE METRE'!$E$14</definedName>
    <definedName name="QQ20500BAC105005">'[2]MINUTE DE METRE'!$E$14</definedName>
    <definedName name="QQ20500BAC150003.01">'[2]MINUTE DE METRE'!$E$16</definedName>
    <definedName name="QQ20500BAC150005">'[2]MINUTE DE METRE'!$E$16</definedName>
    <definedName name="QQ20600BAC202003.01">'[2]MINUTE DE METRE'!$E$10</definedName>
    <definedName name="QQ20600BAC204003.01">'[2]MINUTE DE METRE'!$E$18</definedName>
    <definedName name="QQ20600BAC204005">'[2]MINUTE DE METRE'!$E$18</definedName>
    <definedName name="QQ20900ETA101003.02">'[2]MINUTE DE METRE'!$E$29</definedName>
    <definedName name="QQ20900ETA102003.02">'[2]MINUTE DE METRE'!$E$33</definedName>
    <definedName name="QQ20900ETA103003.02">'[2]MINUTE DE METRE'!$E$38</definedName>
    <definedName name="QQ20900ETA104003.02">'[2]MINUTE DE METRE'!$E$40</definedName>
    <definedName name="QQ20900ETA106003.02">'[2]MINUTE DE METRE'!$E$44</definedName>
    <definedName name="QQ20900ETA109003.02">'[2]MINUTE DE METRE'!$E$46</definedName>
    <definedName name="QQ20950LAN101003.02">'[2]MINUTE DE METRE'!$E$52</definedName>
    <definedName name="QQ35100ALV102008.01">'[2]MINUTE DE METRE'!$E$108</definedName>
    <definedName name="QQ35100ALV102008.03">'[2]MINUTE DE METRE'!$E$212</definedName>
    <definedName name="QQ35100ALV104008.03">'[2]MINUTE DE METRE'!$E$214</definedName>
    <definedName name="QQ35100PAP102008.01">'[2]MINUTE DE METRE'!$E$112</definedName>
    <definedName name="QQ35100PAP103008.01">'[2]MINUTE DE METRE'!$E$110</definedName>
    <definedName name="QQ35100PAP104008.01">'[2]MINUTE DE METRE'!$E$115</definedName>
    <definedName name="QQ35100PAP301008.01">'[2]MINUTE DE METRE'!$E$117</definedName>
    <definedName name="QQ35100PAP350008.01">'[2]MINUTE DE METRE'!$E$123</definedName>
    <definedName name="QQ35100PAP352008.01">'[2]MINUTE DE METRE'!$E$128</definedName>
    <definedName name="QQ35100PAP401008.01">'[2]MINUTE DE METRE'!$E$131</definedName>
    <definedName name="QQ35200DIV101008.01">'[2]MINUTE DE METRE'!$E$134</definedName>
    <definedName name="QQ35200DIV101008.03">'[2]MINUTE DE METRE'!$E$216</definedName>
    <definedName name="QQ35200DIV103008.01">'[2]MINUTE DE METRE'!$E$138</definedName>
    <definedName name="QQ35200DIV104008.01">'[2]MINUTE DE METRE'!$E$140</definedName>
    <definedName name="QQ35200DIV106008.02">'[2]MINUTE DE METRE'!$E$145</definedName>
    <definedName name="QQ35200DIV106008.03">'[2]MINUTE DE METRE'!$E$218</definedName>
    <definedName name="QQ3530008.03">'[2]MINUTE DE METRE'!$E$220</definedName>
    <definedName name="QQ35400MOB101008.03">'[2]MINUTE DE METRE'!$E$222</definedName>
    <definedName name="QQ35400MOB102008.03">'[2]MINUTE DE METRE'!$E$224</definedName>
    <definedName name="QQ35400MOB110008.03">'[2]MINUTE DE METRE'!$E$226</definedName>
    <definedName name="QQ35men0108.01">'[2]MINUTE DE METRE'!$E$120</definedName>
    <definedName name="QQ35men0208.01">'[2]MINUTE DE METRE'!$E$136</definedName>
    <definedName name="QQ35men0308.02">'[2]MINUTE DE METRE'!$E$143</definedName>
    <definedName name="QQ35men0408.02">'[2]MINUTE DE METRE'!#REF!</definedName>
    <definedName name="QQ35men0508.02">'[2]MINUTE DE METRE'!$E$147</definedName>
    <definedName name="QQ35men0608.02">'[2]MINUTE DE METRE'!$E$166</definedName>
    <definedName name="QQ35men0708.02">'[2]MINUTE DE METRE'!$E$184</definedName>
    <definedName name="QQ35men0808.02">'[2]MINUTE DE METRE'!$E$186</definedName>
    <definedName name="QQ35men0908.02">'[2]MINUTE DE METRE'!$E$157</definedName>
    <definedName name="QQ35men1008.02">'[2]MINUTE DE METRE'!$E$188</definedName>
    <definedName name="QQ35men1108.02">'[2]MINUTE DE METRE'!$E$190</definedName>
    <definedName name="QQ35men1208.02">'[2]MINUTE DE METRE'!$E$192</definedName>
    <definedName name="QQ35men1308.02">'[2]MINUTE DE METRE'!$E$194</definedName>
    <definedName name="QQ35men1408.02">'[2]MINUTE DE METRE'!$E$196</definedName>
    <definedName name="QQ35men152308.02">'[2]MINUTE DE METRE'!$E$198</definedName>
    <definedName name="QQ35men2008.03">'[2]MINUTE DE METRE'!$E$228</definedName>
    <definedName name="QQ35men3008.02">'[2]MINUTE DE METRE'!$E$164</definedName>
    <definedName name="QQ35men5008.02">'[2]MINUTE DE METRE'!$E$180</definedName>
    <definedName name="QQ35men5108.02">'[2]MINUTE DE METRE'!$E$182</definedName>
    <definedName name="QQ35men6008.02">'[2]MINUTE DE METRE'!$E$203</definedName>
    <definedName name="QQ35men6508.02">'[2]MINUTE DE METRE'!$E$205</definedName>
    <definedName name="QQ35men6608.02">'[2]MINUTE DE METRE'!$E$207</definedName>
    <definedName name="QQ35men6708.02">'[2]MINUTE DE METRE'!$E$209</definedName>
    <definedName name="QQ35zzmn5608.01">'[2]MINUTE DE METRE'!$E$126</definedName>
    <definedName name="QQ40100PLA108009.01">'[2]MINUTE DE METRE'!$E$232</definedName>
    <definedName name="QQ40100PLA108009.02">'[2]MINUTE DE METRE'!$E$271</definedName>
    <definedName name="QQ40100PLA700009.01">'[2]MINUTE DE METRE'!$E$234</definedName>
    <definedName name="QQ40100PLA700009.02">'[2]MINUTE DE METRE'!$E$273</definedName>
    <definedName name="QQ40200CPL100009.02">'[2]MINUTE DE METRE'!$E$275</definedName>
    <definedName name="QQ40200CPL101009.02">'[2]MINUTE DE METRE'!$E$277</definedName>
    <definedName name="QQ40200STYL100009.01">'[2]MINUTE DE METRE'!$E$236</definedName>
    <definedName name="QQ40200STYL101509.01">'[2]MINUTE DE METRE'!$E$258</definedName>
    <definedName name="QQ40400PLP201009.01">'[2]MINUTE DE METRE'!$E$260</definedName>
    <definedName name="QQ40pla8009.02">'[2]MINUTE DE METRE'!$E$279</definedName>
    <definedName name="QQ40pla80109.01">'[2]MINUTE DE METRE'!$E$264</definedName>
    <definedName name="QQ40pla90009.01">'[2]MINUTE DE METRE'!$E$266</definedName>
    <definedName name="QQ40PLAT0109.01">'[2]MINUTE DE METRE'!$E$262</definedName>
    <definedName name="QQ40ser0106.02">'[2]MINUTE DE METRE'!$E$64</definedName>
    <definedName name="QQ40ser0106.03">'[2]MINUTE DE METRE'!#REF!</definedName>
    <definedName name="QQ40ser0206.02">'[2]MINUTE DE METRE'!$E$68</definedName>
    <definedName name="QQ40ser0206.03">'[2]MINUTE DE METRE'!#REF!</definedName>
    <definedName name="QQ40ser0306.02">'[2]MINUTE DE METRE'!$E$66</definedName>
    <definedName name="QQ40ser0306.03">'[2]MINUTE DE METRE'!#REF!</definedName>
    <definedName name="QQ40ser1006.03">'[2]MINUTE DE METRE'!$E$71</definedName>
    <definedName name="QQ40ser1106.03">'[2]MINUTE DE METRE'!$E$73</definedName>
    <definedName name="QQ40ser1206.03">'[2]MINUTE DE METRE'!$E$75</definedName>
    <definedName name="QQ40ser12106.03">'[2]MINUTE DE METRE'!$E$77</definedName>
    <definedName name="QQ40ser1306.03">'[2]MINUTE DE METRE'!$E$81</definedName>
    <definedName name="QQ40ser1406.03">'[2]MINUTE DE METRE'!$E$87</definedName>
    <definedName name="QQ40ser2006.03">'[2]MINUTE DE METRE'!$E$89</definedName>
    <definedName name="QQ40ser2206.03">'[2]MINUTE DE METRE'!$E$91</definedName>
    <definedName name="QQ40ser2406.03">'[2]MINUTE DE METRE'!$E$93</definedName>
    <definedName name="QQ40ser2606.03">'[2]MINUTE DE METRE'!$E$95</definedName>
    <definedName name="QQ40ser2706.03">'[2]MINUTE DE METRE'!$E$99</definedName>
    <definedName name="QQ40ser2806.03">'[2]MINUTE DE METRE'!$E$97</definedName>
    <definedName name="QQ40ser3006.03">'[2]MINUTE DE METRE'!$E$79</definedName>
    <definedName name="QQ40SER9902">'[2]MINUTE DE METRE'!$E$4</definedName>
    <definedName name="QQ40SER9904">'[2]MINUTE DE METRE'!$E$4</definedName>
    <definedName name="QQ40ser991202">'[2]MINUTE DE METRE'!$E$6</definedName>
    <definedName name="QQ45100FIB101012">'[2]MINUTE DE METRE'!$E$389</definedName>
    <definedName name="QQ45100FIB102012">'[2]MINUTE DE METRE'!$E$401</definedName>
    <definedName name="QQ45100FIB110012">'[2]MINUTE DE METRE'!$E$404</definedName>
    <definedName name="QQ45100FIB200012">'[2]MINUTE DE METRE'!$E$412</definedName>
    <definedName name="QQ45200FPM400012">'[2]MINUTE DE METRE'!$E$418</definedName>
    <definedName name="QQ45fp5512">'[2]MINUTE DE METRE'!$E$407</definedName>
    <definedName name="QQ45pla99009.01">'[2]MINUTE DE METRE'!$E$268</definedName>
    <definedName name="QQ45zzplaf0112">'[2]MINUTE DE METRE'!$E$421</definedName>
    <definedName name="QQ475fp55812">'[2]MINUTE DE METRE'!$E$415</definedName>
    <definedName name="QQ50200SOL100010.01">'[2]MINUTE DE METRE'!$E$283</definedName>
    <definedName name="QQ50200SOL100110.02">'[2]MINUTE DE METRE'!$E$336</definedName>
    <definedName name="QQ50200SOL101810.01">'[2]MINUTE DE METRE'!$E$310</definedName>
    <definedName name="QQ50200SOL102010.01">'[2]MINUTE DE METRE'!$E$317</definedName>
    <definedName name="QQ50300SOL0500110.02">'[2]MINUTE DE METRE'!$E$340</definedName>
    <definedName name="QQ50300SOL101010.01">'[2]MINUTE DE METRE'!$E$306</definedName>
    <definedName name="QQ50300SOL102010.01">'[2]MINUTE DE METRE'!$E$285</definedName>
    <definedName name="QQ50300SOL150010.01">'[2]MINUTE DE METRE'!$E$308</definedName>
    <definedName name="QQ50400MOQ1020110.02">'[2]MINUTE DE METRE'!$E$338</definedName>
    <definedName name="QQ50400MOQ105010.01">'[2]MINUTE DE METRE'!$E$323</definedName>
    <definedName name="QQ50500DIV101010.01">'[2]MINUTE DE METRE'!$E$327</definedName>
    <definedName name="QQ50500DIV102010.01">'[2]MINUTE DE METRE'!$E$329</definedName>
    <definedName name="QQ50sol0110.01">'[2]MINUTE DE METRE'!$E$319</definedName>
    <definedName name="QQ50sszz0510.01">'[2]MINUTE DE METRE'!$E$321</definedName>
    <definedName name="QQ50sszz12010.01">'[2]MINUTE DE METRE'!$E$325</definedName>
    <definedName name="QQ55100CAR100011.01">'[2]MINUTE DE METRE'!$E$344</definedName>
    <definedName name="QQ55100CAR200011.01">'[2]MINUTE DE METRE'!$E$351</definedName>
    <definedName name="QQ55100CAR2000111.02">'[2]MINUTE DE METRE'!$E$382</definedName>
    <definedName name="QQ55100CAR400011.01">'[2]MINUTE DE METRE'!$E$364</definedName>
    <definedName name="QQ55100rrs0111.01">'[2]MINUTE DE METRE'!$E$346</definedName>
    <definedName name="QQ55200FAI100011.01">'[2]MINUTE DE METRE'!$E$368</definedName>
    <definedName name="QQ55200FAI1000111.02">'[2]MINUTE DE METRE'!$E$386</definedName>
    <definedName name="QQ55200FAI200011.01">'[2]MINUTE DE METRE'!$E$375</definedName>
    <definedName name="QQ55300PLIN100011.01">'[2]MINUTE DE METRE'!$E$348</definedName>
    <definedName name="QQ55300PLIN1000111.01">'[2]MINUTE DE METRE'!$E$358</definedName>
    <definedName name="QQ55300PLIN1000111.02">'[2]MINUTE DE METRE'!$E$384</definedName>
    <definedName name="QQ55300PLIN200011.01">'[2]MINUTE DE METRE'!$E$366</definedName>
    <definedName name="QQ55400DIV102010.01">'[2]MINUTE DE METRE'!$E$331</definedName>
    <definedName name="QQ55400DIV105011.01">'[2]MINUTE DE METRE'!$E$377</definedName>
    <definedName name="QQ55400DIV200011.01">'[2]MINUTE DE METRE'!$E$379</definedName>
    <definedName name="QQ55sszz5010.01">'[2]MINUTE DE METRE'!$E$333</definedName>
    <definedName name="QQ60100PIN1020113.02">'[2]MINUTE DE METRE'!$E$456</definedName>
    <definedName name="QQ60100PIN10201213.02">'[2]MINUTE DE METRE'!$E$458</definedName>
    <definedName name="QQ60100PIN103013.01">'[2]MINUTE DE METRE'!$E$427</definedName>
    <definedName name="QQ60100PIN1040113.02">'[2]MINUTE DE METRE'!$E$460</definedName>
    <definedName name="QQ60100PIN104013.01">'[2]MINUTE DE METRE'!$E$431</definedName>
    <definedName name="QQ60100PIN1040213.01">'[2]MINUTE DE METRE'!$E$433</definedName>
    <definedName name="QQ60100PIN1040313.01">'[2]MINUTE DE METRE'!$E$429</definedName>
    <definedName name="QQ60100PIN1100113.01">'[2]MINUTE DE METRE'!$E$437</definedName>
    <definedName name="QQ60100PIN110013.01">'[2]MINUTE DE METRE'!$E$439</definedName>
    <definedName name="QQ60100PIN120013.01">'[2]MINUTE DE METRE'!$E$441</definedName>
    <definedName name="QQ60100PIN200013.01">'[2]MINUTE DE METRE'!$E$435</definedName>
    <definedName name="QQ60100PIN201013.01">'[2]MINUTE DE METRE'!$E$443</definedName>
    <definedName name="QQ60100PIN300013.01">'[2]MINUTE DE METRE'!$E$445</definedName>
    <definedName name="QQ60100PIN400013.01">'[2]MINUTE DE METRE'!$E$449</definedName>
    <definedName name="QQ60100PIN9000113.02">'[2]MINUTE DE METRE'!$E$462</definedName>
    <definedName name="QQ60100PIN900013.01">'[2]MINUTE DE METRE'!$E$451</definedName>
    <definedName name="QQ60200REV200013.01">'[2]MINUTE DE METRE'!$E$447</definedName>
    <definedName name="QQ60200REV300013.02">'[2]MINUTE DE METRE'!$E$454</definedName>
    <definedName name="QQ60pein0113.01">'[2]MINUTE DE METRE'!$E$425</definedName>
    <definedName name="QQ80chauf0115">'[2]MINUTE DE METRE'!$E$468</definedName>
    <definedName name="QQ80elec0116">'[2]MINUTE DE METRE'!$E$471</definedName>
    <definedName name="QQ80elec0217">'[2]MINUTE DE METRE'!$E$474</definedName>
    <definedName name="QQ80occ0107">'[2]MINUTE DE METRE'!$E$102</definedName>
    <definedName name="QQ80occ0207">'[2]MINUTE DE METRE'!$E$104</definedName>
    <definedName name="QQ80plom0214">'[2]MINUTE DE METRE'!$E$465</definedName>
    <definedName name="QQ90ASC1017">'[2]MINUTE DE METRE'!$E$479</definedName>
    <definedName name="QQ90pa0118">'[2]MINUTE DE METRE'!$E$482</definedName>
    <definedName name="QQ90pa0218">'[2]MINUTE DE METRE'!$E$484</definedName>
    <definedName name="QQ90pa0318">'[2]MINUTE DE METRE'!$E$486</definedName>
    <definedName name="QQ90pa0418">'[2]MINUTE DE METRE'!$E$488</definedName>
    <definedName name="QQ90pa0518">'[2]MINUTE DE METRE'!$E$490</definedName>
    <definedName name="questions">#REF!</definedName>
    <definedName name="tablarr">#REF!</definedName>
    <definedName name="TGBT_comprenant">[1]Devis!#REF!</definedName>
    <definedName name="TH">#REF!</definedName>
    <definedName name="tht">#REF!</definedName>
    <definedName name="thts">#REF!</definedName>
    <definedName name="TMO">#REF!</definedName>
    <definedName name="tot01.01">#REF!</definedName>
    <definedName name="tot01.02">#REF!</definedName>
    <definedName name="tot01.03">#REF!</definedName>
    <definedName name="tot01.04">#REF!</definedName>
    <definedName name="tot01.05">#REF!</definedName>
    <definedName name="tot02.01">#REF!</definedName>
    <definedName name="tot02.02">#REF!</definedName>
    <definedName name="tot02.03">#REF!</definedName>
    <definedName name="tot02.04">#REF!</definedName>
    <definedName name="tot02.05">#REF!</definedName>
    <definedName name="tot03.01">#REF!</definedName>
    <definedName name="tot03.02">#REF!</definedName>
    <definedName name="tot03.03">#REF!</definedName>
    <definedName name="tot04.01">#REF!</definedName>
    <definedName name="tot04.02">#REF!</definedName>
    <definedName name="tot06.01">#REF!</definedName>
    <definedName name="tot06.02">#REF!</definedName>
    <definedName name="tot06.03">#REF!</definedName>
    <definedName name="tot08.01">#REF!</definedName>
    <definedName name="tot08.02">#REF!</definedName>
    <definedName name="tot08.03">#REF!</definedName>
    <definedName name="tot09.01">#REF!</definedName>
    <definedName name="tot09.02">#REF!</definedName>
    <definedName name="tot10.01">#REF!</definedName>
    <definedName name="tot10.02">#REF!</definedName>
    <definedName name="tot11.01">#REF!</definedName>
    <definedName name="tot11.02">#REF!</definedName>
    <definedName name="tot13.01">#REF!</definedName>
    <definedName name="tot13.02">#REF!</definedName>
    <definedName name="tot16.01">#REF!</definedName>
    <definedName name="tot16.02">#REF!</definedName>
    <definedName name="tot16.03">#REF!</definedName>
    <definedName name="tot20.01">#REF!</definedName>
    <definedName name="tot20.02">#REF!</definedName>
    <definedName name="tot20.03">#REF!</definedName>
    <definedName name="tot20.04">#REF!</definedName>
    <definedName name="tot20.05">#REF!</definedName>
    <definedName name="tot20.06">#REF!</definedName>
    <definedName name="total">#REF!</definedName>
    <definedName name="tr1_7">[3]TR1!#REF!</definedName>
    <definedName name="TS">#REF!</definedName>
    <definedName name="tttc">#REF!</definedName>
    <definedName name="tttcs">#REF!</definedName>
    <definedName name="variant">#REF!</definedName>
    <definedName name="wrn.bqe." hidden="1">{#N/A,#N/A,FALSE,"EL";#N/A,#N/A,FALSE,"PB";#N/A,#N/A,FALSE,"CH"}</definedName>
    <definedName name="X">[1]Devis!#REF!</definedName>
    <definedName name="_xlnm.Print_Area" localSheetId="0">'LOT A01'!$A$1:$M$84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24" l="1"/>
  <c r="G45" i="224"/>
  <c r="G44" i="224"/>
  <c r="G42" i="224"/>
  <c r="G36" i="224"/>
  <c r="G20" i="224"/>
  <c r="G15" i="224"/>
  <c r="G14" i="224"/>
  <c r="G35" i="224"/>
  <c r="G34" i="224"/>
  <c r="G33" i="224"/>
  <c r="G32" i="224"/>
  <c r="G28" i="224"/>
  <c r="G27" i="224"/>
  <c r="G26" i="224"/>
  <c r="G25" i="224"/>
  <c r="G19" i="224"/>
  <c r="G18" i="224"/>
  <c r="G17" i="224"/>
  <c r="G16" i="224"/>
  <c r="G46" i="224" l="1"/>
  <c r="G39" i="224"/>
  <c r="G29" i="224"/>
  <c r="G21" i="224"/>
  <c r="G48" i="224" l="1"/>
  <c r="G49" i="224" s="1"/>
  <c r="G50" i="224" s="1"/>
  <c r="G51" i="224" l="1"/>
  <c r="G52" i="224" s="1"/>
</calcChain>
</file>

<file path=xl/sharedStrings.xml><?xml version="1.0" encoding="utf-8"?>
<sst xmlns="http://schemas.openxmlformats.org/spreadsheetml/2006/main" count="103" uniqueCount="84">
  <si>
    <t>DESCRIPTIF DES OUVRAGES</t>
  </si>
  <si>
    <t>P.U. HT</t>
  </si>
  <si>
    <t>Unité</t>
  </si>
  <si>
    <t>Désignation</t>
  </si>
  <si>
    <t>Code</t>
  </si>
  <si>
    <t>Ens</t>
  </si>
  <si>
    <t>Montant HT</t>
  </si>
  <si>
    <t>U</t>
  </si>
  <si>
    <t>Quantité</t>
  </si>
  <si>
    <t>TVA à 20,00 %</t>
  </si>
  <si>
    <t>3.1</t>
  </si>
  <si>
    <t>3.3</t>
  </si>
  <si>
    <t>PM</t>
  </si>
  <si>
    <t>DCE</t>
  </si>
  <si>
    <t>DPGF</t>
  </si>
  <si>
    <t>Date :</t>
  </si>
  <si>
    <t>ml</t>
  </si>
  <si>
    <t>m²</t>
  </si>
  <si>
    <r>
      <t>m</t>
    </r>
    <r>
      <rPr>
        <vertAlign val="superscript"/>
        <sz val="8"/>
        <rFont val="Arial"/>
        <family val="2"/>
      </rPr>
      <t>3</t>
    </r>
  </si>
  <si>
    <t>Remblais</t>
  </si>
  <si>
    <t xml:space="preserve">Béton de propreté </t>
  </si>
  <si>
    <t>Garnissage - Raccords divers</t>
  </si>
  <si>
    <t xml:space="preserve">Réservations/Percements </t>
  </si>
  <si>
    <t>DECATHLON - FITNESS LAB
1 Avenue des Olympiades  – 59 700 Marcq-en-Baroeul</t>
  </si>
  <si>
    <t xml:space="preserve">INFRASTRUCTURES </t>
  </si>
  <si>
    <t>Terassements</t>
  </si>
  <si>
    <t>3.1.1</t>
  </si>
  <si>
    <t>En rigole</t>
  </si>
  <si>
    <t xml:space="preserve">En pleine masse </t>
  </si>
  <si>
    <t>3.1.2</t>
  </si>
  <si>
    <t>3.1.3</t>
  </si>
  <si>
    <t>3.1.4</t>
  </si>
  <si>
    <t>3.1.5</t>
  </si>
  <si>
    <t xml:space="preserve">Mircropieux </t>
  </si>
  <si>
    <t>Radier monte-charge sur micropieux</t>
  </si>
  <si>
    <t>Cuvette monte-charge</t>
  </si>
  <si>
    <t>3.1.6</t>
  </si>
  <si>
    <t>3.2</t>
  </si>
  <si>
    <t>CANALISATIONS</t>
  </si>
  <si>
    <t>3.2.1</t>
  </si>
  <si>
    <t xml:space="preserve">Limite du lot </t>
  </si>
  <si>
    <t>3.2.2</t>
  </si>
  <si>
    <t>3.2.3</t>
  </si>
  <si>
    <t>3.2.4</t>
  </si>
  <si>
    <t>3.2.5</t>
  </si>
  <si>
    <t>Réseaux EU-EV</t>
  </si>
  <si>
    <t>Regards</t>
  </si>
  <si>
    <t>Branchement sur regard existant</t>
  </si>
  <si>
    <t>Autocontrôle de l'entreprise - Contrôle des canalisations</t>
  </si>
  <si>
    <t xml:space="preserve">SUPERSTRUCTURES </t>
  </si>
  <si>
    <t>3.3.1</t>
  </si>
  <si>
    <t>3.3.2</t>
  </si>
  <si>
    <t>3.3.3</t>
  </si>
  <si>
    <t>3.3.4</t>
  </si>
  <si>
    <t>Ouverture plancher</t>
  </si>
  <si>
    <t>Poutre console</t>
  </si>
  <si>
    <t>Elévations en bloc bétons</t>
  </si>
  <si>
    <t>Planchers en béton armé</t>
  </si>
  <si>
    <t xml:space="preserve">DIVERS </t>
  </si>
  <si>
    <t>3.4.1</t>
  </si>
  <si>
    <t>3.4.2</t>
  </si>
  <si>
    <t>3.4.3</t>
  </si>
  <si>
    <t>Joints de dilatation</t>
  </si>
  <si>
    <t>3.4.4</t>
  </si>
  <si>
    <t>Rejointoiement</t>
  </si>
  <si>
    <t>3.4</t>
  </si>
  <si>
    <t>Sous-total 3.1</t>
  </si>
  <si>
    <t>Sous-total 3.2</t>
  </si>
  <si>
    <t>Sous-total 3.3</t>
  </si>
  <si>
    <t>Sous-total 3.4</t>
  </si>
  <si>
    <t>Murs en élévation - Parpaing 15</t>
  </si>
  <si>
    <t>3.3.5</t>
  </si>
  <si>
    <t>3.3.6</t>
  </si>
  <si>
    <t>Murs en élévation - Parpaing 20 (VARIANTE)</t>
  </si>
  <si>
    <t>(0,00€)</t>
  </si>
  <si>
    <t>3.3.7</t>
  </si>
  <si>
    <t>Prorata 1,5%</t>
  </si>
  <si>
    <t xml:space="preserve">TOTAL € T.T.C. </t>
  </si>
  <si>
    <t>TOTAL € H.T. hors prorata</t>
  </si>
  <si>
    <t>Sous total € H.T. compris prorata</t>
  </si>
  <si>
    <t>Lot XXX</t>
  </si>
  <si>
    <t>Nom de l'entreprise :</t>
  </si>
  <si>
    <t>A compléter</t>
  </si>
  <si>
    <r>
      <rPr>
        <b/>
        <sz val="8"/>
        <color rgb="FFFF0000"/>
        <rFont val="Arial"/>
        <family val="2"/>
      </rPr>
      <t>⚠ **NOTICE DE REMPLISSAGE DU DPGF (FICHIER EXCEL)**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Avant toute saisie, les entreprises sont invitées à respecter les règles suivantes :
</t>
    </r>
    <r>
      <rPr>
        <b/>
        <sz val="8"/>
        <rFont val="Arial"/>
        <family val="2"/>
      </rPr>
      <t>**1. Saisie des prix**</t>
    </r>
    <r>
      <rPr>
        <sz val="8"/>
        <rFont val="Arial"/>
        <family val="2"/>
      </rPr>
      <t xml:space="preserve">
Les entreprises doivent uniquement renseigner les cellules prévues pour la saisie (prix unitaires et/ou montants). Les cellules contenant des formules ne doivent pas être modifiées.
</t>
    </r>
    <r>
      <rPr>
        <b/>
        <sz val="8"/>
        <rFont val="Arial"/>
        <family val="2"/>
      </rPr>
      <t>**2. Structure du document**</t>
    </r>
    <r>
      <rPr>
        <sz val="8"/>
        <rFont val="Arial"/>
        <family val="2"/>
      </rPr>
      <t xml:space="preserve">
La structure du DPGF (lignes, intitulés, formules, colonnes) ne doit en aucun cas être modifiée, supprimée ou déplacée.
</t>
    </r>
    <r>
      <rPr>
        <b/>
        <sz val="8"/>
        <rFont val="Arial"/>
        <family val="2"/>
      </rPr>
      <t>**3. Options**</t>
    </r>
    <r>
      <rPr>
        <sz val="8"/>
        <rFont val="Arial"/>
        <family val="2"/>
      </rPr>
      <t xml:space="preserve">
Les options sont identifiées dans le document. Elles doivent être chiffrées uniquement dans les lignes dédiées et ne sont pas intégrées dans le sous-total de l’offre de base.
</t>
    </r>
    <r>
      <rPr>
        <b/>
        <sz val="8"/>
        <rFont val="Arial"/>
        <family val="2"/>
      </rPr>
      <t>**4. Variantes**</t>
    </r>
    <r>
      <rPr>
        <sz val="8"/>
        <rFont val="Arial"/>
        <family val="2"/>
      </rPr>
      <t xml:space="preserve">
Les variantes éventuelles doivent être renseignées exclusivement dans les articles identifiés comme tels et doivent être présentées séparément de l’offre de base.
</t>
    </r>
    <r>
      <rPr>
        <b/>
        <sz val="8"/>
        <rFont val="Arial"/>
        <family val="2"/>
      </rPr>
      <t>**5. Prorata**</t>
    </r>
    <r>
      <rPr>
        <sz val="8"/>
        <rFont val="Arial"/>
        <family val="2"/>
      </rPr>
      <t xml:space="preserve">
Le taux de prorata indiqué dans le document s’applique au sous-total hors taxes du lot et est automatiquement intégré dans le calcul du montant HT compris prorata.
</t>
    </r>
    <r>
      <rPr>
        <b/>
        <sz val="8"/>
        <rFont val="Arial"/>
        <family val="2"/>
      </rPr>
      <t>**6. Calcul des montants**</t>
    </r>
    <r>
      <rPr>
        <sz val="8"/>
        <rFont val="Arial"/>
        <family val="2"/>
      </rPr>
      <t xml:space="preserve">
Les montants doivent être exprimés en euros hors taxes (€ HT). Les calculs s’effectuent selon la structure suivante :
Sous-total HT hors prorata → Prorata → Sous-total HT compris prorata → TVA → Total TTC.
Toute modification du fichier pouvant altérer les calculs pourra entraîner l’irrégularité de l’offre.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</si>
</sst>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&quot;€&quot;"/>
  </numFmts>
  <fonts count="69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sz val="11"/>
      <color indexed="8"/>
      <name val="Calibri"/>
      <family val="2"/>
    </font>
    <font>
      <u/>
      <sz val="11"/>
      <color rgb="FF0000FF"/>
      <name val="Calibri"/>
      <family val="2"/>
      <scheme val="minor"/>
    </font>
    <font>
      <u/>
      <sz val="8"/>
      <color theme="10"/>
      <name val="Times New Roman"/>
      <family val="1"/>
    </font>
    <font>
      <b/>
      <sz val="8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8"/>
      <name val="Arial"/>
      <family val="2"/>
    </font>
    <font>
      <b/>
      <u/>
      <sz val="11"/>
      <name val="Times New Roman"/>
      <family val="1"/>
    </font>
    <font>
      <i/>
      <sz val="8"/>
      <name val="Arial"/>
      <family val="2"/>
    </font>
    <font>
      <b/>
      <u/>
      <sz val="12"/>
      <name val="Calibri"/>
      <family val="2"/>
      <scheme val="minor"/>
    </font>
    <font>
      <vertAlign val="superscript"/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u/>
      <sz val="11"/>
      <color rgb="FF80008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0000"/>
      <name val="Arial"/>
      <family val="2"/>
    </font>
    <font>
      <b/>
      <u/>
      <sz val="8"/>
      <color rgb="FFFF0000"/>
      <name val="Arial"/>
      <family val="2"/>
    </font>
    <font>
      <b/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9" tint="0.79998168889431442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30">
    <xf numFmtId="0" fontId="0" fillId="0" borderId="0" applyAlignment="0">
      <alignment vertical="top" wrapText="1"/>
      <protection locked="0"/>
    </xf>
    <xf numFmtId="44" fontId="31" fillId="0" borderId="0" applyFont="0" applyFill="0" applyBorder="0" applyAlignment="0" applyProtection="0"/>
    <xf numFmtId="44" fontId="28" fillId="0" borderId="0" applyFont="0" applyFill="0" applyBorder="0" applyAlignment="0" applyProtection="0"/>
    <xf numFmtId="164" fontId="33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0" fillId="0" borderId="0" applyAlignment="0">
      <alignment vertical="top" wrapText="1"/>
      <protection locked="0"/>
    </xf>
    <xf numFmtId="9" fontId="30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7" fillId="0" borderId="0"/>
    <xf numFmtId="0" fontId="26" fillId="0" borderId="0"/>
    <xf numFmtId="0" fontId="25" fillId="0" borderId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0" fillId="0" borderId="0" applyAlignment="0">
      <alignment vertical="top" wrapText="1"/>
      <protection locked="0"/>
    </xf>
    <xf numFmtId="0" fontId="24" fillId="0" borderId="0"/>
    <xf numFmtId="0" fontId="35" fillId="0" borderId="0"/>
    <xf numFmtId="0" fontId="28" fillId="0" borderId="0"/>
    <xf numFmtId="0" fontId="23" fillId="0" borderId="0"/>
    <xf numFmtId="0" fontId="22" fillId="0" borderId="0"/>
    <xf numFmtId="0" fontId="21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3" borderId="15" applyNumberFormat="0" applyFont="0" applyAlignment="0" applyProtection="0"/>
    <xf numFmtId="0" fontId="21" fillId="3" borderId="15" applyNumberFormat="0" applyFont="0" applyAlignment="0" applyProtection="0"/>
    <xf numFmtId="0" fontId="21" fillId="3" borderId="15" applyNumberFormat="0" applyFont="0" applyAlignment="0" applyProtection="0"/>
    <xf numFmtId="0" fontId="21" fillId="3" borderId="15" applyNumberFormat="0" applyFont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 wrapText="1"/>
      <protection locked="0"/>
    </xf>
    <xf numFmtId="16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0" applyAlignment="0">
      <alignment vertical="top" wrapText="1"/>
      <protection locked="0"/>
    </xf>
    <xf numFmtId="0" fontId="21" fillId="0" borderId="0"/>
    <xf numFmtId="0" fontId="21" fillId="0" borderId="0"/>
    <xf numFmtId="0" fontId="21" fillId="0" borderId="0"/>
    <xf numFmtId="0" fontId="30" fillId="0" borderId="0" applyAlignment="0">
      <alignment vertical="top" wrapText="1"/>
      <protection locked="0"/>
    </xf>
    <xf numFmtId="0" fontId="21" fillId="0" borderId="0"/>
    <xf numFmtId="0" fontId="21" fillId="0" borderId="0"/>
    <xf numFmtId="0" fontId="35" fillId="0" borderId="0"/>
    <xf numFmtId="9" fontId="21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 wrapText="1"/>
      <protection locked="0"/>
    </xf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64" fontId="18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2" fillId="0" borderId="0"/>
    <xf numFmtId="0" fontId="11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0" fillId="0" borderId="0"/>
    <xf numFmtId="0" fontId="9" fillId="0" borderId="0"/>
    <xf numFmtId="0" fontId="2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3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3" borderId="15" applyNumberFormat="0" applyFont="0" applyAlignment="0" applyProtection="0"/>
    <xf numFmtId="0" fontId="3" fillId="3" borderId="15" applyNumberFormat="0" applyFont="0" applyAlignment="0" applyProtection="0"/>
    <xf numFmtId="0" fontId="3" fillId="3" borderId="15" applyNumberFormat="0" applyFont="0" applyAlignment="0" applyProtection="0"/>
    <xf numFmtId="0" fontId="3" fillId="3" borderId="15" applyNumberFormat="0" applyFont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28" fillId="0" borderId="0"/>
    <xf numFmtId="0" fontId="47" fillId="0" borderId="18" applyNumberFormat="0" applyFill="0" applyAlignment="0" applyProtection="0"/>
    <xf numFmtId="0" fontId="48" fillId="0" borderId="19" applyNumberFormat="0" applyFill="0" applyAlignment="0" applyProtection="0"/>
    <xf numFmtId="0" fontId="49" fillId="0" borderId="20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9" borderId="21" applyNumberFormat="0" applyAlignment="0" applyProtection="0"/>
    <xf numFmtId="0" fontId="53" fillId="20" borderId="22" applyNumberFormat="0" applyAlignment="0" applyProtection="0"/>
    <xf numFmtId="0" fontId="54" fillId="20" borderId="21" applyNumberFormat="0" applyAlignment="0" applyProtection="0"/>
    <xf numFmtId="0" fontId="55" fillId="0" borderId="23" applyNumberFormat="0" applyFill="0" applyAlignment="0" applyProtection="0"/>
    <xf numFmtId="0" fontId="56" fillId="21" borderId="24" applyNumberFormat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25" applyNumberFormat="0" applyFill="0" applyAlignment="0" applyProtection="0"/>
    <xf numFmtId="0" fontId="60" fillId="2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60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60" fillId="26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60" fillId="2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60" fillId="30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60" fillId="3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44" fontId="28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8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18" borderId="0" applyNumberFormat="0" applyBorder="0" applyAlignment="0" applyProtection="0"/>
    <xf numFmtId="0" fontId="60" fillId="23" borderId="0" applyNumberFormat="0" applyBorder="0" applyAlignment="0" applyProtection="0"/>
    <xf numFmtId="0" fontId="60" fillId="25" borderId="0" applyNumberFormat="0" applyBorder="0" applyAlignment="0" applyProtection="0"/>
    <xf numFmtId="0" fontId="60" fillId="27" borderId="0" applyNumberFormat="0" applyBorder="0" applyAlignment="0" applyProtection="0"/>
    <xf numFmtId="0" fontId="60" fillId="29" borderId="0" applyNumberFormat="0" applyBorder="0" applyAlignment="0" applyProtection="0"/>
    <xf numFmtId="0" fontId="60" fillId="31" borderId="0" applyNumberFormat="0" applyBorder="0" applyAlignment="0" applyProtection="0"/>
    <xf numFmtId="0" fontId="60" fillId="33" borderId="0" applyNumberFormat="0" applyBorder="0" applyAlignment="0" applyProtection="0"/>
    <xf numFmtId="0" fontId="2" fillId="0" borderId="0"/>
    <xf numFmtId="0" fontId="2" fillId="3" borderId="15" applyNumberFormat="0" applyFont="0" applyAlignment="0" applyProtection="0"/>
    <xf numFmtId="0" fontId="63" fillId="0" borderId="0" applyNumberFormat="0" applyFill="0" applyBorder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3" borderId="15" applyNumberFormat="0" applyFont="0" applyAlignment="0" applyProtection="0"/>
    <xf numFmtId="44" fontId="3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" borderId="15" applyNumberFormat="0" applyFont="0" applyAlignment="0" applyProtection="0"/>
    <xf numFmtId="0" fontId="2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3" borderId="15" applyNumberFormat="0" applyFont="0" applyAlignment="0" applyProtection="0"/>
    <xf numFmtId="44" fontId="3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30" fillId="0" borderId="0" applyAlignment="0">
      <alignment vertical="top" wrapText="1"/>
      <protection locked="0"/>
    </xf>
    <xf numFmtId="0" fontId="2" fillId="0" borderId="0"/>
    <xf numFmtId="0" fontId="6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4">
    <xf numFmtId="0" fontId="0" fillId="0" borderId="0" xfId="0" applyAlignment="1" applyProtection="1"/>
    <xf numFmtId="0" fontId="29" fillId="0" borderId="0" xfId="0" applyFont="1" applyAlignment="1">
      <alignment horizontal="left" vertical="top"/>
      <protection locked="0"/>
    </xf>
    <xf numFmtId="0" fontId="28" fillId="0" borderId="0" xfId="0" applyFont="1" applyAlignment="1">
      <alignment horizontal="left" vertical="top"/>
      <protection locked="0"/>
    </xf>
    <xf numFmtId="0" fontId="32" fillId="0" borderId="0" xfId="0" applyFont="1" applyAlignment="1">
      <alignment horizontal="left" vertical="top"/>
      <protection locked="0"/>
    </xf>
    <xf numFmtId="0" fontId="30" fillId="0" borderId="0" xfId="0" applyFont="1" applyAlignment="1">
      <alignment horizontal="left" vertical="top"/>
      <protection locked="0"/>
    </xf>
    <xf numFmtId="0" fontId="37" fillId="0" borderId="0" xfId="148" applyFont="1" applyAlignment="1" applyProtection="1">
      <alignment horizontal="justify" vertical="center"/>
    </xf>
    <xf numFmtId="0" fontId="45" fillId="0" borderId="0" xfId="0" applyFont="1" applyAlignment="1">
      <alignment vertical="center"/>
      <protection locked="0"/>
    </xf>
    <xf numFmtId="0" fontId="0" fillId="0" borderId="0" xfId="0" applyAlignment="1">
      <alignment horizontal="left" vertical="top"/>
      <protection locked="0"/>
    </xf>
    <xf numFmtId="0" fontId="38" fillId="0" borderId="16" xfId="0" applyFont="1" applyBorder="1" applyAlignment="1">
      <alignment horizontal="left" vertical="center"/>
      <protection locked="0"/>
    </xf>
    <xf numFmtId="0" fontId="38" fillId="0" borderId="16" xfId="0" applyFont="1" applyBorder="1" applyAlignment="1">
      <alignment horizontal="center" vertical="center" wrapText="1"/>
      <protection locked="0"/>
    </xf>
    <xf numFmtId="4" fontId="38" fillId="0" borderId="16" xfId="0" applyNumberFormat="1" applyFont="1" applyBorder="1" applyAlignment="1">
      <alignment horizontal="center" vertical="center" wrapText="1"/>
      <protection locked="0"/>
    </xf>
    <xf numFmtId="0" fontId="38" fillId="0" borderId="17" xfId="0" applyFont="1" applyBorder="1" applyAlignment="1">
      <alignment horizontal="center" vertical="center" wrapText="1"/>
      <protection locked="0"/>
    </xf>
    <xf numFmtId="0" fontId="38" fillId="0" borderId="0" xfId="0" applyFont="1" applyAlignment="1">
      <alignment horizontal="left" vertical="top"/>
      <protection locked="0"/>
    </xf>
    <xf numFmtId="0" fontId="32" fillId="0" borderId="0" xfId="0" applyFont="1" applyAlignment="1" applyProtection="1"/>
    <xf numFmtId="0" fontId="29" fillId="0" borderId="6" xfId="0" applyFont="1" applyBorder="1" applyAlignment="1">
      <alignment horizontal="center" vertical="top"/>
      <protection locked="0"/>
    </xf>
    <xf numFmtId="0" fontId="28" fillId="0" borderId="6" xfId="0" applyFont="1" applyBorder="1" applyAlignment="1">
      <alignment horizontal="center" vertical="top"/>
      <protection locked="0"/>
    </xf>
    <xf numFmtId="0" fontId="29" fillId="0" borderId="8" xfId="0" applyFont="1" applyBorder="1" applyAlignment="1">
      <alignment horizontal="center" vertical="top"/>
      <protection locked="0"/>
    </xf>
    <xf numFmtId="0" fontId="30" fillId="0" borderId="0" xfId="0" applyFont="1" applyAlignment="1">
      <alignment horizontal="center" vertical="top"/>
      <protection locked="0"/>
    </xf>
    <xf numFmtId="4" fontId="30" fillId="0" borderId="0" xfId="0" applyNumberFormat="1" applyFont="1" applyAlignment="1">
      <alignment horizontal="left" vertical="top"/>
      <protection locked="0"/>
    </xf>
    <xf numFmtId="0" fontId="0" fillId="0" borderId="0" xfId="0" applyAlignment="1">
      <alignment horizontal="center" vertical="top"/>
      <protection locked="0"/>
    </xf>
    <xf numFmtId="4" fontId="0" fillId="0" borderId="0" xfId="0" applyNumberFormat="1" applyAlignment="1">
      <alignment horizontal="left" vertical="top"/>
      <protection locked="0"/>
    </xf>
    <xf numFmtId="0" fontId="28" fillId="2" borderId="29" xfId="0" applyFont="1" applyFill="1" applyBorder="1" applyAlignment="1">
      <alignment horizontal="left" vertical="center"/>
      <protection locked="0"/>
    </xf>
    <xf numFmtId="0" fontId="28" fillId="2" borderId="4" xfId="0" applyFont="1" applyFill="1" applyBorder="1" applyAlignment="1">
      <alignment horizontal="left" vertical="center"/>
      <protection locked="0"/>
    </xf>
    <xf numFmtId="4" fontId="28" fillId="2" borderId="4" xfId="0" applyNumberFormat="1" applyFont="1" applyFill="1" applyBorder="1" applyAlignment="1">
      <alignment horizontal="right" vertical="center"/>
      <protection locked="0"/>
    </xf>
    <xf numFmtId="0" fontId="28" fillId="2" borderId="4" xfId="0" applyFont="1" applyFill="1" applyBorder="1" applyAlignment="1">
      <alignment horizontal="right" vertical="center"/>
      <protection locked="0"/>
    </xf>
    <xf numFmtId="165" fontId="28" fillId="2" borderId="13" xfId="0" applyNumberFormat="1" applyFont="1" applyFill="1" applyBorder="1" applyAlignment="1">
      <alignment horizontal="right" vertical="center"/>
      <protection locked="0"/>
    </xf>
    <xf numFmtId="165" fontId="28" fillId="0" borderId="30" xfId="0" applyNumberFormat="1" applyFont="1" applyBorder="1" applyAlignment="1">
      <alignment horizontal="right" vertical="center"/>
      <protection locked="0"/>
    </xf>
    <xf numFmtId="0" fontId="38" fillId="0" borderId="0" xfId="0" applyFont="1" applyAlignment="1" applyProtection="1">
      <alignment vertical="top"/>
    </xf>
    <xf numFmtId="0" fontId="30" fillId="0" borderId="0" xfId="0" applyFont="1" applyAlignment="1">
      <alignment horizontal="left"/>
      <protection locked="0"/>
    </xf>
    <xf numFmtId="0" fontId="30" fillId="0" borderId="0" xfId="0" applyFont="1" applyAlignment="1">
      <alignment horizontal="left" vertical="center"/>
      <protection locked="0"/>
    </xf>
    <xf numFmtId="0" fontId="39" fillId="34" borderId="11" xfId="0" applyFont="1" applyFill="1" applyBorder="1" applyAlignment="1">
      <alignment horizontal="center" vertical="center" wrapText="1"/>
      <protection locked="0"/>
    </xf>
    <xf numFmtId="0" fontId="39" fillId="35" borderId="0" xfId="0" applyFont="1" applyFill="1" applyBorder="1" applyAlignment="1">
      <alignment horizontal="center" vertical="center" wrapText="1"/>
      <protection locked="0"/>
    </xf>
    <xf numFmtId="0" fontId="40" fillId="34" borderId="11" xfId="0" applyFont="1" applyFill="1" applyBorder="1" applyAlignment="1">
      <alignment horizontal="left" vertical="center"/>
      <protection locked="0"/>
    </xf>
    <xf numFmtId="0" fontId="65" fillId="34" borderId="11" xfId="0" applyFont="1" applyFill="1" applyBorder="1" applyAlignment="1">
      <alignment horizontal="center" vertical="center"/>
      <protection locked="0"/>
    </xf>
    <xf numFmtId="0" fontId="40" fillId="0" borderId="4" xfId="0" applyFont="1" applyBorder="1" applyAlignment="1">
      <alignment horizontal="center" vertical="center"/>
      <protection locked="0"/>
    </xf>
    <xf numFmtId="0" fontId="43" fillId="0" borderId="32" xfId="0" applyFont="1" applyBorder="1" applyAlignment="1">
      <alignment horizontal="center" vertical="center"/>
      <protection locked="0"/>
    </xf>
    <xf numFmtId="0" fontId="41" fillId="0" borderId="2" xfId="0" applyFont="1" applyBorder="1" applyAlignment="1">
      <alignment horizontal="left" vertical="center"/>
      <protection locked="0"/>
    </xf>
    <xf numFmtId="0" fontId="41" fillId="0" borderId="3" xfId="0" applyFont="1" applyBorder="1" applyAlignment="1">
      <alignment horizontal="left" vertical="center"/>
      <protection locked="0"/>
    </xf>
    <xf numFmtId="0" fontId="66" fillId="0" borderId="1" xfId="0" applyFont="1" applyBorder="1" applyAlignment="1">
      <alignment horizontal="left" vertical="center"/>
      <protection locked="0"/>
    </xf>
    <xf numFmtId="0" fontId="42" fillId="0" borderId="11" xfId="0" applyFont="1" applyBorder="1" applyAlignment="1">
      <alignment horizontal="center" vertical="center" wrapText="1"/>
      <protection locked="0"/>
    </xf>
    <xf numFmtId="0" fontId="32" fillId="0" borderId="11" xfId="0" applyFont="1" applyBorder="1" applyAlignment="1">
      <alignment vertical="center"/>
      <protection locked="0"/>
    </xf>
    <xf numFmtId="0" fontId="32" fillId="0" borderId="33" xfId="0" applyFont="1" applyBorder="1" applyAlignment="1">
      <alignment horizontal="left" vertical="top"/>
      <protection locked="0"/>
    </xf>
    <xf numFmtId="0" fontId="32" fillId="0" borderId="34" xfId="0" applyFont="1" applyBorder="1" applyAlignment="1">
      <alignment horizontal="left" vertical="top"/>
      <protection locked="0"/>
    </xf>
    <xf numFmtId="0" fontId="42" fillId="0" borderId="35" xfId="0" applyFont="1" applyBorder="1" applyAlignment="1">
      <alignment horizontal="center" vertical="center" wrapText="1"/>
      <protection locked="0"/>
    </xf>
    <xf numFmtId="0" fontId="32" fillId="0" borderId="35" xfId="0" applyFont="1" applyBorder="1" applyAlignment="1">
      <alignment vertical="center"/>
      <protection locked="0"/>
    </xf>
    <xf numFmtId="0" fontId="32" fillId="0" borderId="36" xfId="0" applyFont="1" applyBorder="1" applyAlignment="1">
      <alignment vertical="center"/>
      <protection locked="0"/>
    </xf>
    <xf numFmtId="0" fontId="67" fillId="0" borderId="31" xfId="0" applyFont="1" applyBorder="1" applyAlignment="1">
      <alignment horizontal="center" vertical="center" wrapText="1"/>
      <protection locked="0"/>
    </xf>
    <xf numFmtId="0" fontId="38" fillId="0" borderId="37" xfId="0" applyFont="1" applyBorder="1" applyAlignment="1">
      <alignment horizontal="center" vertical="center" wrapText="1"/>
      <protection locked="0"/>
    </xf>
    <xf numFmtId="0" fontId="29" fillId="0" borderId="11" xfId="0" applyFont="1" applyBorder="1" applyAlignment="1">
      <alignment horizontal="center" vertical="center"/>
      <protection locked="0"/>
    </xf>
    <xf numFmtId="17" fontId="29" fillId="0" borderId="11" xfId="192" applyNumberFormat="1" applyFont="1" applyBorder="1" applyAlignment="1" applyProtection="1">
      <alignment horizontal="center" vertical="top" wrapText="1"/>
      <protection locked="0"/>
    </xf>
    <xf numFmtId="0" fontId="38" fillId="34" borderId="14" xfId="0" applyFont="1" applyFill="1" applyBorder="1" applyAlignment="1">
      <alignment horizontal="center" vertical="center"/>
      <protection locked="0"/>
    </xf>
    <xf numFmtId="0" fontId="30" fillId="35" borderId="11" xfId="0" applyFont="1" applyFill="1" applyBorder="1" applyAlignment="1">
      <alignment horizontal="center" vertical="center"/>
      <protection locked="0"/>
    </xf>
    <xf numFmtId="4" fontId="30" fillId="35" borderId="11" xfId="0" applyNumberFormat="1" applyFont="1" applyFill="1" applyBorder="1" applyAlignment="1">
      <alignment horizontal="right" vertical="center"/>
      <protection locked="0"/>
    </xf>
    <xf numFmtId="165" fontId="30" fillId="35" borderId="11" xfId="0" applyNumberFormat="1" applyFont="1" applyFill="1" applyBorder="1" applyAlignment="1">
      <alignment horizontal="right" vertical="center"/>
      <protection locked="0"/>
    </xf>
    <xf numFmtId="165" fontId="30" fillId="35" borderId="12" xfId="0" applyNumberFormat="1" applyFont="1" applyFill="1" applyBorder="1" applyAlignment="1">
      <alignment horizontal="right" vertical="center"/>
      <protection locked="0"/>
    </xf>
    <xf numFmtId="0" fontId="30" fillId="35" borderId="14" xfId="0" applyFont="1" applyFill="1" applyBorder="1" applyAlignment="1">
      <alignment horizontal="center" vertical="center"/>
      <protection locked="0"/>
    </xf>
    <xf numFmtId="0" fontId="30" fillId="35" borderId="5" xfId="0" applyFont="1" applyFill="1" applyBorder="1" applyAlignment="1">
      <alignment horizontal="left" vertical="center" wrapText="1"/>
      <protection locked="0"/>
    </xf>
    <xf numFmtId="0" fontId="44" fillId="35" borderId="5" xfId="0" applyFont="1" applyFill="1" applyBorder="1" applyAlignment="1">
      <alignment horizontal="left" vertical="center" wrapText="1"/>
      <protection locked="0"/>
    </xf>
    <xf numFmtId="0" fontId="38" fillId="35" borderId="5" xfId="0" applyFont="1" applyFill="1" applyBorder="1" applyAlignment="1">
      <alignment horizontal="right" vertical="center" wrapText="1"/>
      <protection locked="0"/>
    </xf>
    <xf numFmtId="165" fontId="38" fillId="35" borderId="12" xfId="0" applyNumberFormat="1" applyFont="1" applyFill="1" applyBorder="1" applyAlignment="1">
      <alignment horizontal="right" vertical="center"/>
      <protection locked="0"/>
    </xf>
    <xf numFmtId="0" fontId="44" fillId="35" borderId="14" xfId="0" applyFont="1" applyFill="1" applyBorder="1" applyAlignment="1">
      <alignment horizontal="center" vertical="center"/>
      <protection locked="0"/>
    </xf>
    <xf numFmtId="0" fontId="44" fillId="35" borderId="11" xfId="0" applyFont="1" applyFill="1" applyBorder="1" applyAlignment="1">
      <alignment horizontal="center" vertical="center"/>
      <protection locked="0"/>
    </xf>
    <xf numFmtId="4" fontId="44" fillId="35" borderId="11" xfId="0" applyNumberFormat="1" applyFont="1" applyFill="1" applyBorder="1" applyAlignment="1">
      <alignment horizontal="right" vertical="center"/>
      <protection locked="0"/>
    </xf>
    <xf numFmtId="165" fontId="44" fillId="35" borderId="11" xfId="0" applyNumberFormat="1" applyFont="1" applyFill="1" applyBorder="1" applyAlignment="1">
      <alignment horizontal="right" vertical="center"/>
      <protection locked="0"/>
    </xf>
    <xf numFmtId="49" fontId="44" fillId="35" borderId="12" xfId="0" applyNumberFormat="1" applyFont="1" applyFill="1" applyBorder="1" applyAlignment="1">
      <alignment horizontal="right" vertical="center"/>
      <protection locked="0"/>
    </xf>
    <xf numFmtId="0" fontId="38" fillId="34" borderId="5" xfId="0" applyFont="1" applyFill="1" applyBorder="1" applyAlignment="1">
      <alignment horizontal="left" vertical="center" wrapText="1"/>
      <protection locked="0"/>
    </xf>
    <xf numFmtId="0" fontId="38" fillId="34" borderId="4" xfId="0" applyFont="1" applyFill="1" applyBorder="1" applyAlignment="1">
      <alignment horizontal="left" vertical="center" wrapText="1"/>
      <protection locked="0"/>
    </xf>
    <xf numFmtId="0" fontId="38" fillId="34" borderId="13" xfId="0" applyFont="1" applyFill="1" applyBorder="1" applyAlignment="1">
      <alignment horizontal="left" vertical="center" wrapText="1"/>
      <protection locked="0"/>
    </xf>
    <xf numFmtId="0" fontId="29" fillId="34" borderId="8" xfId="0" applyFont="1" applyFill="1" applyBorder="1" applyAlignment="1">
      <alignment horizontal="left" vertical="center"/>
      <protection locked="0"/>
    </xf>
    <xf numFmtId="0" fontId="29" fillId="34" borderId="9" xfId="0" applyFont="1" applyFill="1" applyBorder="1" applyAlignment="1">
      <alignment horizontal="left" vertical="center"/>
      <protection locked="0"/>
    </xf>
    <xf numFmtId="4" fontId="29" fillId="34" borderId="9" xfId="0" applyNumberFormat="1" applyFont="1" applyFill="1" applyBorder="1" applyAlignment="1">
      <alignment horizontal="right" vertical="center"/>
      <protection locked="0"/>
    </xf>
    <xf numFmtId="0" fontId="29" fillId="34" borderId="9" xfId="0" applyFont="1" applyFill="1" applyBorder="1" applyAlignment="1">
      <alignment horizontal="right" vertical="center"/>
      <protection locked="0"/>
    </xf>
    <xf numFmtId="165" fontId="29" fillId="34" borderId="10" xfId="0" applyNumberFormat="1" applyFont="1" applyFill="1" applyBorder="1" applyAlignment="1">
      <alignment horizontal="right" vertical="center"/>
      <protection locked="0"/>
    </xf>
    <xf numFmtId="0" fontId="28" fillId="34" borderId="26" xfId="0" applyFont="1" applyFill="1" applyBorder="1" applyAlignment="1">
      <alignment horizontal="left" vertical="center"/>
      <protection locked="0"/>
    </xf>
    <xf numFmtId="0" fontId="28" fillId="34" borderId="27" xfId="0" applyFont="1" applyFill="1" applyBorder="1" applyAlignment="1">
      <alignment horizontal="left" vertical="center"/>
      <protection locked="0"/>
    </xf>
    <xf numFmtId="4" fontId="28" fillId="34" borderId="27" xfId="0" applyNumberFormat="1" applyFont="1" applyFill="1" applyBorder="1" applyAlignment="1">
      <alignment horizontal="right" vertical="center"/>
      <protection locked="0"/>
    </xf>
    <xf numFmtId="0" fontId="28" fillId="34" borderId="27" xfId="0" applyFont="1" applyFill="1" applyBorder="1" applyAlignment="1">
      <alignment horizontal="right" vertical="center"/>
      <protection locked="0"/>
    </xf>
    <xf numFmtId="165" fontId="28" fillId="34" borderId="28" xfId="0" applyNumberFormat="1" applyFont="1" applyFill="1" applyBorder="1" applyAlignment="1">
      <alignment horizontal="right" vertical="center"/>
      <protection locked="0"/>
    </xf>
    <xf numFmtId="0" fontId="29" fillId="34" borderId="29" xfId="0" applyFont="1" applyFill="1" applyBorder="1" applyAlignment="1">
      <alignment horizontal="left" vertical="center"/>
      <protection locked="0"/>
    </xf>
    <xf numFmtId="0" fontId="29" fillId="34" borderId="4" xfId="0" applyFont="1" applyFill="1" applyBorder="1" applyAlignment="1">
      <alignment horizontal="left" vertical="center"/>
      <protection locked="0"/>
    </xf>
    <xf numFmtId="4" fontId="29" fillId="34" borderId="4" xfId="0" applyNumberFormat="1" applyFont="1" applyFill="1" applyBorder="1" applyAlignment="1">
      <alignment horizontal="right" vertical="center"/>
      <protection locked="0"/>
    </xf>
    <xf numFmtId="0" fontId="29" fillId="34" borderId="4" xfId="0" applyFont="1" applyFill="1" applyBorder="1" applyAlignment="1">
      <alignment horizontal="right" vertical="center"/>
      <protection locked="0"/>
    </xf>
    <xf numFmtId="165" fontId="29" fillId="34" borderId="13" xfId="0" applyNumberFormat="1" applyFont="1" applyFill="1" applyBorder="1" applyAlignment="1">
      <alignment horizontal="right" vertical="center"/>
      <protection locked="0"/>
    </xf>
    <xf numFmtId="0" fontId="32" fillId="0" borderId="6" xfId="0" applyFont="1" applyBorder="1" applyAlignment="1">
      <alignment horizontal="center" vertical="center"/>
      <protection locked="0"/>
    </xf>
    <xf numFmtId="0" fontId="32" fillId="0" borderId="0" xfId="0" applyFont="1" applyBorder="1" applyAlignment="1">
      <alignment horizontal="center" vertical="center"/>
      <protection locked="0"/>
    </xf>
    <xf numFmtId="0" fontId="32" fillId="0" borderId="7" xfId="0" applyFont="1" applyBorder="1" applyAlignment="1">
      <alignment horizontal="center" vertical="center"/>
      <protection locked="0"/>
    </xf>
    <xf numFmtId="0" fontId="30" fillId="0" borderId="6" xfId="0" applyFont="1" applyBorder="1" applyAlignment="1">
      <alignment horizontal="center" vertical="center" wrapText="1"/>
      <protection locked="0"/>
    </xf>
    <xf numFmtId="0" fontId="30" fillId="0" borderId="0" xfId="0" applyFont="1" applyBorder="1" applyAlignment="1">
      <alignment horizontal="center" vertical="center" wrapText="1"/>
      <protection locked="0"/>
    </xf>
    <xf numFmtId="0" fontId="30" fillId="0" borderId="7" xfId="0" applyFont="1" applyBorder="1" applyAlignment="1">
      <alignment horizontal="center" vertical="center" wrapText="1"/>
      <protection locked="0"/>
    </xf>
    <xf numFmtId="0" fontId="28" fillId="0" borderId="29" xfId="0" applyFont="1" applyBorder="1" applyAlignment="1">
      <alignment horizontal="left" vertical="center"/>
      <protection locked="0"/>
    </xf>
    <xf numFmtId="0" fontId="28" fillId="0" borderId="4" xfId="0" applyFont="1" applyBorder="1" applyAlignment="1">
      <alignment horizontal="left" vertical="center"/>
      <protection locked="0"/>
    </xf>
    <xf numFmtId="0" fontId="32" fillId="0" borderId="0" xfId="0" applyFont="1" applyBorder="1" applyAlignment="1">
      <alignment horizontal="left" vertical="top"/>
      <protection locked="0"/>
    </xf>
    <xf numFmtId="0" fontId="38" fillId="0" borderId="39" xfId="0" applyFont="1" applyBorder="1" applyAlignment="1" applyProtection="1">
      <alignment horizontal="center" vertical="top" wrapText="1"/>
    </xf>
    <xf numFmtId="0" fontId="38" fillId="0" borderId="40" xfId="0" applyFont="1" applyBorder="1" applyAlignment="1" applyProtection="1">
      <alignment horizontal="center" vertical="top" wrapText="1"/>
    </xf>
    <xf numFmtId="0" fontId="38" fillId="0" borderId="41" xfId="0" applyFont="1" applyBorder="1" applyAlignment="1" applyProtection="1">
      <alignment horizontal="center" vertical="top" wrapText="1"/>
    </xf>
    <xf numFmtId="0" fontId="38" fillId="0" borderId="42" xfId="0" applyFont="1" applyBorder="1" applyAlignment="1" applyProtection="1">
      <alignment horizontal="center" vertical="top" wrapText="1"/>
    </xf>
    <xf numFmtId="0" fontId="38" fillId="0" borderId="0" xfId="0" applyFont="1" applyBorder="1" applyAlignment="1" applyProtection="1">
      <alignment horizontal="center" vertical="top" wrapText="1"/>
    </xf>
    <xf numFmtId="0" fontId="38" fillId="0" borderId="43" xfId="0" applyFont="1" applyBorder="1" applyAlignment="1" applyProtection="1">
      <alignment horizontal="center" vertical="top" wrapText="1"/>
    </xf>
    <xf numFmtId="0" fontId="38" fillId="0" borderId="44" xfId="0" applyFont="1" applyBorder="1" applyAlignment="1" applyProtection="1">
      <alignment horizontal="center" vertical="top" wrapText="1"/>
    </xf>
    <xf numFmtId="0" fontId="38" fillId="0" borderId="38" xfId="0" applyFont="1" applyBorder="1" applyAlignment="1" applyProtection="1">
      <alignment horizontal="center" vertical="top" wrapText="1"/>
    </xf>
    <xf numFmtId="0" fontId="38" fillId="0" borderId="45" xfId="0" applyFont="1" applyBorder="1" applyAlignment="1" applyProtection="1">
      <alignment horizontal="center" vertical="top" wrapText="1"/>
    </xf>
    <xf numFmtId="0" fontId="29" fillId="0" borderId="5" xfId="0" applyFont="1" applyBorder="1" applyAlignment="1">
      <alignment horizontal="left" vertical="center"/>
      <protection locked="0"/>
    </xf>
    <xf numFmtId="0" fontId="29" fillId="0" borderId="4" xfId="0" applyFont="1" applyBorder="1" applyAlignment="1">
      <alignment horizontal="left" vertical="center"/>
      <protection locked="0"/>
    </xf>
    <xf numFmtId="0" fontId="29" fillId="0" borderId="31" xfId="0" applyFont="1" applyBorder="1" applyAlignment="1">
      <alignment horizontal="left" vertical="center"/>
      <protection locked="0"/>
    </xf>
  </cellXfs>
  <cellStyles count="530">
    <cellStyle name="20 % - Accent1" xfId="353" builtinId="30" customBuiltin="1"/>
    <cellStyle name="20 % - Accent1 2" xfId="75" xr:uid="{00000000-0005-0000-0000-000000000000}"/>
    <cellStyle name="20 % - Accent1 2 2" xfId="76" xr:uid="{00000000-0005-0000-0000-000001000000}"/>
    <cellStyle name="20 % - Accent1 2 2 2" xfId="264" xr:uid="{22021A23-9DEB-4BEB-A861-E853B48BF443}"/>
    <cellStyle name="20 % - Accent1 2 2 3" xfId="476" xr:uid="{B95F2A52-839F-402C-86DB-E0D77ED3E441}"/>
    <cellStyle name="20 % - Accent1 2 3" xfId="263" xr:uid="{C272C826-C4B5-4AD5-964C-9BB33EA9211D}"/>
    <cellStyle name="20 % - Accent1 2 4" xfId="405" xr:uid="{A9919E7F-966E-49A8-A3D9-8375C392886E}"/>
    <cellStyle name="20 % - Accent1 3" xfId="77" xr:uid="{00000000-0005-0000-0000-000002000000}"/>
    <cellStyle name="20 % - Accent1 3 2" xfId="265" xr:uid="{5AF4CDD8-C54C-44B4-AEE5-0D3D5ED762E1}"/>
    <cellStyle name="20 % - Accent1 3 3" xfId="461" xr:uid="{699DFF8D-89C1-432A-A571-949EB5601D35}"/>
    <cellStyle name="20 % - Accent2" xfId="356" builtinId="34" customBuiltin="1"/>
    <cellStyle name="20 % - Accent2 2" xfId="78" xr:uid="{00000000-0005-0000-0000-000003000000}"/>
    <cellStyle name="20 % - Accent2 2 2" xfId="79" xr:uid="{00000000-0005-0000-0000-000004000000}"/>
    <cellStyle name="20 % - Accent2 2 2 2" xfId="267" xr:uid="{26F52DDD-554D-41E6-B232-2A61A3898779}"/>
    <cellStyle name="20 % - Accent2 2 2 3" xfId="478" xr:uid="{CA17898C-03BA-47BA-9C21-ED16C1000560}"/>
    <cellStyle name="20 % - Accent2 2 3" xfId="266" xr:uid="{030086F2-4ADF-455C-893D-BE7B85D3C7F6}"/>
    <cellStyle name="20 % - Accent2 2 4" xfId="407" xr:uid="{D824E70E-DB26-4906-9DCD-C08F0523631C}"/>
    <cellStyle name="20 % - Accent2 3" xfId="80" xr:uid="{00000000-0005-0000-0000-000005000000}"/>
    <cellStyle name="20 % - Accent2 3 2" xfId="268" xr:uid="{B85985B0-4A0D-4718-8C7C-DE5F9A352260}"/>
    <cellStyle name="20 % - Accent2 3 3" xfId="463" xr:uid="{61BB8646-FF08-4317-8E7C-B0D922AA1FE8}"/>
    <cellStyle name="20 % - Accent3" xfId="359" builtinId="38" customBuiltin="1"/>
    <cellStyle name="20 % - Accent3 2" xfId="81" xr:uid="{00000000-0005-0000-0000-000006000000}"/>
    <cellStyle name="20 % - Accent3 2 2" xfId="82" xr:uid="{00000000-0005-0000-0000-000007000000}"/>
    <cellStyle name="20 % - Accent3 2 2 2" xfId="270" xr:uid="{23F161AE-FCB4-409E-B341-43CD0A00EF05}"/>
    <cellStyle name="20 % - Accent3 2 2 3" xfId="480" xr:uid="{44CEFB35-C0CB-4090-961D-481229E909FD}"/>
    <cellStyle name="20 % - Accent3 2 3" xfId="269" xr:uid="{5F3B7216-455F-42E1-99BB-412BF88DA0D5}"/>
    <cellStyle name="20 % - Accent3 2 4" xfId="409" xr:uid="{C96132C3-2DEA-4D29-BC54-48AFC69A563D}"/>
    <cellStyle name="20 % - Accent3 3" xfId="83" xr:uid="{00000000-0005-0000-0000-000008000000}"/>
    <cellStyle name="20 % - Accent3 3 2" xfId="271" xr:uid="{E70E5424-8C99-41D9-B7E1-1012EF371D22}"/>
    <cellStyle name="20 % - Accent3 3 3" xfId="465" xr:uid="{59906037-91EA-4D17-83DA-EB3941544533}"/>
    <cellStyle name="20 % - Accent4" xfId="362" builtinId="42" customBuiltin="1"/>
    <cellStyle name="20 % - Accent4 2" xfId="84" xr:uid="{00000000-0005-0000-0000-000009000000}"/>
    <cellStyle name="20 % - Accent4 2 2" xfId="85" xr:uid="{00000000-0005-0000-0000-00000A000000}"/>
    <cellStyle name="20 % - Accent4 2 2 2" xfId="273" xr:uid="{E0D80709-46ED-42F5-B6F4-483C6013B017}"/>
    <cellStyle name="20 % - Accent4 2 2 3" xfId="482" xr:uid="{B821AED7-586F-49C2-AC02-B08D11ACE5FF}"/>
    <cellStyle name="20 % - Accent4 2 3" xfId="272" xr:uid="{39140DEA-8DD9-4691-ADD5-62016BBC10BD}"/>
    <cellStyle name="20 % - Accent4 2 4" xfId="411" xr:uid="{F875AA1C-377B-4658-93E1-35E2F80E75DF}"/>
    <cellStyle name="20 % - Accent4 3" xfId="86" xr:uid="{00000000-0005-0000-0000-00000B000000}"/>
    <cellStyle name="20 % - Accent4 3 2" xfId="274" xr:uid="{28A95B7A-86F7-4A13-8342-07B9A9EB5462}"/>
    <cellStyle name="20 % - Accent4 3 3" xfId="467" xr:uid="{912E259B-C8F7-4F3B-98AC-C10649D0820F}"/>
    <cellStyle name="20 % - Accent5" xfId="365" builtinId="46" customBuiltin="1"/>
    <cellStyle name="20 % - Accent5 2" xfId="87" xr:uid="{00000000-0005-0000-0000-00000C000000}"/>
    <cellStyle name="20 % - Accent5 2 2" xfId="88" xr:uid="{00000000-0005-0000-0000-00000D000000}"/>
    <cellStyle name="20 % - Accent5 2 2 2" xfId="276" xr:uid="{AD2213F7-53D0-4790-BEC5-4E30D4E4647B}"/>
    <cellStyle name="20 % - Accent5 2 2 3" xfId="484" xr:uid="{D7D8C160-296C-435E-A26B-2A18B0163563}"/>
    <cellStyle name="20 % - Accent5 2 3" xfId="275" xr:uid="{5253DA95-1CDD-4FC0-B7AA-140291331FBC}"/>
    <cellStyle name="20 % - Accent5 2 4" xfId="413" xr:uid="{DADFF033-0377-4397-8D61-3273315EB295}"/>
    <cellStyle name="20 % - Accent5 3" xfId="89" xr:uid="{00000000-0005-0000-0000-00000E000000}"/>
    <cellStyle name="20 % - Accent5 3 2" xfId="277" xr:uid="{616CC928-E148-4BB4-BAE3-51976ADE02E7}"/>
    <cellStyle name="20 % - Accent5 3 3" xfId="469" xr:uid="{7AE34937-AE00-445F-A4A7-03DC2D21BA2A}"/>
    <cellStyle name="20 % - Accent6" xfId="368" builtinId="50" customBuiltin="1"/>
    <cellStyle name="20 % - Accent6 2" xfId="90" xr:uid="{00000000-0005-0000-0000-00000F000000}"/>
    <cellStyle name="20 % - Accent6 2 2" xfId="91" xr:uid="{00000000-0005-0000-0000-000010000000}"/>
    <cellStyle name="20 % - Accent6 2 2 2" xfId="279" xr:uid="{42D96414-6594-4628-8760-A9A68F6FAE13}"/>
    <cellStyle name="20 % - Accent6 2 2 3" xfId="486" xr:uid="{44408E4C-F3E0-4562-825F-0A22E9B25577}"/>
    <cellStyle name="20 % - Accent6 2 3" xfId="278" xr:uid="{822DDE11-A361-4CD3-9FBE-3A24F66B2A3D}"/>
    <cellStyle name="20 % - Accent6 2 4" xfId="415" xr:uid="{1A19D3E3-3CFA-4F30-892B-6C50DDBC4B94}"/>
    <cellStyle name="20 % - Accent6 3" xfId="92" xr:uid="{00000000-0005-0000-0000-000011000000}"/>
    <cellStyle name="20 % - Accent6 3 2" xfId="280" xr:uid="{6A515609-E349-4D75-A1A6-E72B0C118412}"/>
    <cellStyle name="20 % - Accent6 3 3" xfId="471" xr:uid="{CE12C17C-AE73-4B9A-B487-8C21BC6F86E4}"/>
    <cellStyle name="40 % - Accent1" xfId="354" builtinId="31" customBuiltin="1"/>
    <cellStyle name="40 % - Accent1 2" xfId="93" xr:uid="{00000000-0005-0000-0000-000012000000}"/>
    <cellStyle name="40 % - Accent1 2 2" xfId="94" xr:uid="{00000000-0005-0000-0000-000013000000}"/>
    <cellStyle name="40 % - Accent1 2 2 2" xfId="282" xr:uid="{05E08F6D-F24B-483F-BB97-BF87548400D7}"/>
    <cellStyle name="40 % - Accent1 2 2 3" xfId="477" xr:uid="{6B1EE935-834F-4B7C-87D2-726CEF5A5E7E}"/>
    <cellStyle name="40 % - Accent1 2 3" xfId="281" xr:uid="{BDC2D3BB-3978-412F-8D27-EB7C6C0ABB2D}"/>
    <cellStyle name="40 % - Accent1 2 4" xfId="406" xr:uid="{832F86D6-FF08-491F-9140-741244FB450F}"/>
    <cellStyle name="40 % - Accent1 3" xfId="95" xr:uid="{00000000-0005-0000-0000-000014000000}"/>
    <cellStyle name="40 % - Accent1 3 2" xfId="283" xr:uid="{973DFB69-750F-4D0C-A10A-93E987765267}"/>
    <cellStyle name="40 % - Accent1 3 3" xfId="462" xr:uid="{BA251E9B-9EC0-4127-960B-B6BE00EAE561}"/>
    <cellStyle name="40 % - Accent2" xfId="357" builtinId="35" customBuiltin="1"/>
    <cellStyle name="40 % - Accent2 2" xfId="96" xr:uid="{00000000-0005-0000-0000-000015000000}"/>
    <cellStyle name="40 % - Accent2 2 2" xfId="97" xr:uid="{00000000-0005-0000-0000-000016000000}"/>
    <cellStyle name="40 % - Accent2 2 2 2" xfId="285" xr:uid="{9C4A6B5D-94CC-4CD2-98BD-56390A39CB28}"/>
    <cellStyle name="40 % - Accent2 2 2 3" xfId="479" xr:uid="{F7788517-0BBA-4149-A0B4-C56A9B0FA8B8}"/>
    <cellStyle name="40 % - Accent2 2 3" xfId="284" xr:uid="{1D111BE8-EDC6-4A2B-8685-14141BDD1BF9}"/>
    <cellStyle name="40 % - Accent2 2 4" xfId="408" xr:uid="{42739AC0-80AA-4FE3-9AC2-9DEB3210FDB4}"/>
    <cellStyle name="40 % - Accent2 3" xfId="98" xr:uid="{00000000-0005-0000-0000-000017000000}"/>
    <cellStyle name="40 % - Accent2 3 2" xfId="286" xr:uid="{F3BC1FE4-7051-471B-935B-BB2A9625C6D3}"/>
    <cellStyle name="40 % - Accent2 3 3" xfId="464" xr:uid="{EDE7EE18-853E-4435-81D2-65BBFC486A8A}"/>
    <cellStyle name="40 % - Accent3" xfId="360" builtinId="39" customBuiltin="1"/>
    <cellStyle name="40 % - Accent3 2" xfId="99" xr:uid="{00000000-0005-0000-0000-000018000000}"/>
    <cellStyle name="40 % - Accent3 2 2" xfId="100" xr:uid="{00000000-0005-0000-0000-000019000000}"/>
    <cellStyle name="40 % - Accent3 2 2 2" xfId="288" xr:uid="{9E577C6F-DC38-4A21-B085-19939380009A}"/>
    <cellStyle name="40 % - Accent3 2 2 3" xfId="481" xr:uid="{B27708C8-0655-46F5-8D0D-0C4AFF62487D}"/>
    <cellStyle name="40 % - Accent3 2 3" xfId="287" xr:uid="{DFCB15A8-5E2F-4F52-9F29-819109E431EF}"/>
    <cellStyle name="40 % - Accent3 2 4" xfId="410" xr:uid="{6519C840-5FEE-429F-BA0F-3641E4CD4D58}"/>
    <cellStyle name="40 % - Accent3 3" xfId="101" xr:uid="{00000000-0005-0000-0000-00001A000000}"/>
    <cellStyle name="40 % - Accent3 3 2" xfId="289" xr:uid="{93749260-9CBA-4630-AF1B-B823F89C5F7E}"/>
    <cellStyle name="40 % - Accent3 3 3" xfId="466" xr:uid="{96966763-142F-4C7E-B44E-05769582507E}"/>
    <cellStyle name="40 % - Accent4" xfId="363" builtinId="43" customBuiltin="1"/>
    <cellStyle name="40 % - Accent4 2" xfId="102" xr:uid="{00000000-0005-0000-0000-00001B000000}"/>
    <cellStyle name="40 % - Accent4 2 2" xfId="103" xr:uid="{00000000-0005-0000-0000-00001C000000}"/>
    <cellStyle name="40 % - Accent4 2 2 2" xfId="291" xr:uid="{9A711656-103B-40E1-9936-7C8D2C21C76F}"/>
    <cellStyle name="40 % - Accent4 2 2 3" xfId="483" xr:uid="{295463D1-7D9F-48E4-86F5-644D1498398F}"/>
    <cellStyle name="40 % - Accent4 2 3" xfId="290" xr:uid="{E48C1B38-581A-4F38-B40D-358E74A12474}"/>
    <cellStyle name="40 % - Accent4 2 4" xfId="412" xr:uid="{1EEA8C67-03BA-4CA6-88FA-378C1DA67748}"/>
    <cellStyle name="40 % - Accent4 3" xfId="104" xr:uid="{00000000-0005-0000-0000-00001D000000}"/>
    <cellStyle name="40 % - Accent4 3 2" xfId="292" xr:uid="{A8DF6526-95ED-4ABE-B2ED-77430A850B4E}"/>
    <cellStyle name="40 % - Accent4 3 3" xfId="468" xr:uid="{6B4CBAA2-E28B-4143-BEEC-AD6C011B9892}"/>
    <cellStyle name="40 % - Accent5" xfId="366" builtinId="47" customBuiltin="1"/>
    <cellStyle name="40 % - Accent5 2" xfId="105" xr:uid="{00000000-0005-0000-0000-00001E000000}"/>
    <cellStyle name="40 % - Accent5 2 2" xfId="106" xr:uid="{00000000-0005-0000-0000-00001F000000}"/>
    <cellStyle name="40 % - Accent5 2 2 2" xfId="294" xr:uid="{74A55BFB-6B5A-4482-87BE-B4300956D2C5}"/>
    <cellStyle name="40 % - Accent5 2 2 3" xfId="485" xr:uid="{958C8419-01E7-49D3-A9D0-2E0442B8827D}"/>
    <cellStyle name="40 % - Accent5 2 3" xfId="293" xr:uid="{12A00912-68C2-414D-ABD3-32687202ECCB}"/>
    <cellStyle name="40 % - Accent5 2 4" xfId="414" xr:uid="{2066875A-DE21-47E4-96D0-F8DB9DEAD84E}"/>
    <cellStyle name="40 % - Accent5 3" xfId="107" xr:uid="{00000000-0005-0000-0000-000020000000}"/>
    <cellStyle name="40 % - Accent5 3 2" xfId="295" xr:uid="{8BB124D4-CC12-4876-9D33-C9F0CB752A37}"/>
    <cellStyle name="40 % - Accent5 3 3" xfId="470" xr:uid="{91CC4627-D509-417C-AAC6-2BAC6EF28EE5}"/>
    <cellStyle name="40 % - Accent6" xfId="369" builtinId="51" customBuiltin="1"/>
    <cellStyle name="40 % - Accent6 2" xfId="108" xr:uid="{00000000-0005-0000-0000-000021000000}"/>
    <cellStyle name="40 % - Accent6 2 2" xfId="109" xr:uid="{00000000-0005-0000-0000-000022000000}"/>
    <cellStyle name="40 % - Accent6 2 2 2" xfId="297" xr:uid="{36050555-3282-465A-8946-DC69DD51FDCC}"/>
    <cellStyle name="40 % - Accent6 2 2 3" xfId="487" xr:uid="{E7B7AA82-9D44-4BF2-A369-F29799E2ACE1}"/>
    <cellStyle name="40 % - Accent6 2 3" xfId="296" xr:uid="{7BC1BFB2-C331-499A-8C77-BDD9A455CF5F}"/>
    <cellStyle name="40 % - Accent6 2 4" xfId="416" xr:uid="{0633B0EE-E0DF-4BA3-AF04-8FB910D1BAC8}"/>
    <cellStyle name="40 % - Accent6 3" xfId="110" xr:uid="{00000000-0005-0000-0000-000023000000}"/>
    <cellStyle name="40 % - Accent6 3 2" xfId="298" xr:uid="{568638ED-331A-49D5-9AD8-DFA2C01F1341}"/>
    <cellStyle name="40 % - Accent6 3 3" xfId="472" xr:uid="{FBB54A63-0A02-467D-AA91-C2ED1B004F3E}"/>
    <cellStyle name="60 % - Accent1 2" xfId="395" xr:uid="{EE400874-6DDF-49F8-AC3A-0D2BDD2E6EB6}"/>
    <cellStyle name="60 % - Accent2 2" xfId="396" xr:uid="{D3C5A054-44ED-4BA5-886D-669BE1381857}"/>
    <cellStyle name="60 % - Accent3 2" xfId="397" xr:uid="{CC5868E8-4E74-483E-97F9-DC775C55E641}"/>
    <cellStyle name="60 % - Accent4 2" xfId="398" xr:uid="{AE58A199-D5DC-4F2D-ABEE-C756F5BDC39D}"/>
    <cellStyle name="60 % - Accent5 2" xfId="399" xr:uid="{91E15D37-E8AA-4BCC-8FAA-64E5A09FDBF5}"/>
    <cellStyle name="60 % - Accent6 2" xfId="400" xr:uid="{E7B8321A-76C9-41C9-AEC0-EC7186D02E6C}"/>
    <cellStyle name="Accent1" xfId="352" builtinId="29" customBuiltin="1"/>
    <cellStyle name="Accent2" xfId="355" builtinId="33" customBuiltin="1"/>
    <cellStyle name="Accent3" xfId="358" builtinId="37" customBuiltin="1"/>
    <cellStyle name="Accent4" xfId="361" builtinId="41" customBuiltin="1"/>
    <cellStyle name="Accent5" xfId="364" builtinId="45" customBuiltin="1"/>
    <cellStyle name="Accent6" xfId="367" builtinId="49" customBuiltin="1"/>
    <cellStyle name="Avertissement" xfId="349" builtinId="11" customBuiltin="1"/>
    <cellStyle name="Calcul" xfId="346" builtinId="22" customBuiltin="1"/>
    <cellStyle name="Cellule liée" xfId="347" builtinId="24" customBuiltin="1"/>
    <cellStyle name="Commentaire 2" xfId="111" xr:uid="{00000000-0005-0000-0000-000024000000}"/>
    <cellStyle name="Commentaire 2 2" xfId="112" xr:uid="{00000000-0005-0000-0000-000025000000}"/>
    <cellStyle name="Commentaire 2 2 2" xfId="113" xr:uid="{00000000-0005-0000-0000-000026000000}"/>
    <cellStyle name="Commentaire 2 2 2 2" xfId="301" xr:uid="{D5FE83FE-2E94-4902-92AA-AC81F7EAAC23}"/>
    <cellStyle name="Commentaire 2 2 2 3" xfId="509" xr:uid="{90FEB573-E501-4646-B2AA-337B1EA8A16B}"/>
    <cellStyle name="Commentaire 2 2 3" xfId="300" xr:uid="{CF4DE8EA-F34A-4652-9CA4-3C507739B1A1}"/>
    <cellStyle name="Commentaire 2 2 4" xfId="438" xr:uid="{5E0F6F1B-7AF2-4C73-AE56-CB045FE5F81D}"/>
    <cellStyle name="Commentaire 2 3" xfId="114" xr:uid="{00000000-0005-0000-0000-000027000000}"/>
    <cellStyle name="Commentaire 2 3 2" xfId="302" xr:uid="{76EC1C75-1811-4802-B211-A4E2196D0B16}"/>
    <cellStyle name="Commentaire 2 3 3" xfId="474" xr:uid="{8BDCD886-BF88-4580-B458-0B52776651CA}"/>
    <cellStyle name="Commentaire 2 4" xfId="299" xr:uid="{B3B33D1D-93D0-4C5E-A119-A7F3D29F6A5C}"/>
    <cellStyle name="Commentaire 2 5" xfId="402" xr:uid="{A6E8FE12-DCA2-44BB-A605-71D1575BFB88}"/>
    <cellStyle name="Entrée" xfId="344" builtinId="20" customBuiltin="1"/>
    <cellStyle name="Euro" xfId="1" xr:uid="{00000000-0005-0000-0000-000028000000}"/>
    <cellStyle name="Euro 2" xfId="2" xr:uid="{00000000-0005-0000-0000-000029000000}"/>
    <cellStyle name="Euro 2 2" xfId="197" xr:uid="{15E4004A-C168-47A3-ADC6-DA5ABD637CAE}"/>
    <cellStyle name="Euro 2 3" xfId="389" xr:uid="{4895A200-C22A-4F57-838D-06E04B4C46E0}"/>
    <cellStyle name="Euro 3" xfId="196" xr:uid="{73C4F2DE-EAD8-4D48-9E9B-340371CE7A6B}"/>
    <cellStyle name="Euro 4" xfId="370" xr:uid="{227DC303-1E90-45E4-BFED-B96328C3DE8B}"/>
    <cellStyle name="Insatisfaisant" xfId="343" builtinId="27" customBuiltin="1"/>
    <cellStyle name="Lien hypertexte" xfId="148" builtinId="8"/>
    <cellStyle name="Lien hypertexte 2" xfId="115" xr:uid="{00000000-0005-0000-0000-00002B000000}"/>
    <cellStyle name="Lien hypertexte 3" xfId="116" xr:uid="{00000000-0005-0000-0000-00002C000000}"/>
    <cellStyle name="Lien hypertexte 3 2" xfId="518" xr:uid="{03FB3346-A8BC-429B-A1B9-9FC3227D5727}"/>
    <cellStyle name="Lien hypertexte visité" xfId="403" builtinId="9" customBuiltin="1"/>
    <cellStyle name="Milliers 2" xfId="3" xr:uid="{00000000-0005-0000-0000-00002D000000}"/>
    <cellStyle name="Milliers 2 2" xfId="28" xr:uid="{00000000-0005-0000-0000-00002E000000}"/>
    <cellStyle name="Milliers 2 2 2" xfId="117" xr:uid="{00000000-0005-0000-0000-00002F000000}"/>
    <cellStyle name="Milliers 2 2 2 2" xfId="303" xr:uid="{DFA7F2F2-17A7-41E5-9E73-0455E2C63326}"/>
    <cellStyle name="Milliers 2 2 2 3" xfId="505" xr:uid="{41C9A5CE-8B4F-4FA1-BA2E-FC8D1D280312}"/>
    <cellStyle name="Milliers 2 2 3" xfId="220" xr:uid="{039181F1-D3E9-4C7A-9976-5E53C40E6F05}"/>
    <cellStyle name="Milliers 2 2 4" xfId="434" xr:uid="{9DA529B3-0356-4C40-808B-093A085921E7}"/>
    <cellStyle name="Milliers 2 3" xfId="29" xr:uid="{00000000-0005-0000-0000-000030000000}"/>
    <cellStyle name="Milliers 2 3 2" xfId="221" xr:uid="{5BA76861-1A6D-4F9E-AF51-81EFA136D6E3}"/>
    <cellStyle name="Milliers 2 3 3" xfId="458" xr:uid="{097B630E-7499-4A34-ADFF-CBD801646CB7}"/>
    <cellStyle name="Milliers 2 4" xfId="154" xr:uid="{FF9757EF-6983-40F6-B672-B977BBA669EE}"/>
    <cellStyle name="Milliers 2 4 2" xfId="335" xr:uid="{99FC50A8-32D2-433C-A3EE-38C5D1EDE844}"/>
    <cellStyle name="Milliers 2 5" xfId="198" xr:uid="{B8F82310-4DF1-48E7-B8D1-3F3382619A40}"/>
    <cellStyle name="Milliers 2 6" xfId="390" xr:uid="{A78AC89B-7C42-470E-AB01-33D7EEB1D27B}"/>
    <cellStyle name="Monétaire 2" xfId="4" xr:uid="{00000000-0005-0000-0000-000032000000}"/>
    <cellStyle name="Monétaire 2 2" xfId="199" xr:uid="{AAD91B2A-57EA-4E48-97DC-659C331A1FE1}"/>
    <cellStyle name="Monétaire 2 3" xfId="371" xr:uid="{60892506-C8AF-4E44-85AC-D7FC36248E15}"/>
    <cellStyle name="Monétaire 3" xfId="5" xr:uid="{00000000-0005-0000-0000-000033000000}"/>
    <cellStyle name="Monétaire 3 2" xfId="30" xr:uid="{00000000-0005-0000-0000-000034000000}"/>
    <cellStyle name="Monétaire 3 2 2" xfId="118" xr:uid="{00000000-0005-0000-0000-000035000000}"/>
    <cellStyle name="Monétaire 3 2 2 2" xfId="304" xr:uid="{06C95F7C-47A7-47A3-84AC-7457E926E76C}"/>
    <cellStyle name="Monétaire 3 2 2 3" xfId="506" xr:uid="{4FD0D6F6-9AC3-4A21-B785-A9F9DDF1B74D}"/>
    <cellStyle name="Monétaire 3 2 3" xfId="222" xr:uid="{6BA198CD-ACD8-4717-B353-76BAB692157F}"/>
    <cellStyle name="Monétaire 3 2 4" xfId="435" xr:uid="{19057291-ACAD-4D33-9AE0-B6D8AC86B2F7}"/>
    <cellStyle name="Monétaire 3 3" xfId="31" xr:uid="{00000000-0005-0000-0000-000036000000}"/>
    <cellStyle name="Monétaire 3 3 2" xfId="223" xr:uid="{95D7F65E-E2C2-4645-B8D1-500F803DF1FE}"/>
    <cellStyle name="Monétaire 3 3 3" xfId="459" xr:uid="{734D9D73-36D7-471A-9032-641AA891ABCB}"/>
    <cellStyle name="Monétaire 3 4" xfId="200" xr:uid="{8E8D1EFB-7F3A-4D71-AB49-C11708CF3DBE}"/>
    <cellStyle name="Monétaire 3 5" xfId="391" xr:uid="{309FAA66-42B2-4D8A-84A3-3DCB42254447}"/>
    <cellStyle name="Monétaire 4" xfId="119" xr:uid="{00000000-0005-0000-0000-000037000000}"/>
    <cellStyle name="Monétaire 4 2" xfId="120" xr:uid="{00000000-0005-0000-0000-000038000000}"/>
    <cellStyle name="Monétaire 4 2 2" xfId="306" xr:uid="{B72BCA3B-A156-4E7F-BAFD-47AFAC9AD67A}"/>
    <cellStyle name="Monétaire 4 2 3" xfId="510" xr:uid="{322CADF7-9F31-4F45-9482-C0A43E7F6C18}"/>
    <cellStyle name="Monétaire 4 3" xfId="305" xr:uid="{57FE5C1F-9934-4E7B-9BF4-4E234DFFF388}"/>
    <cellStyle name="Monétaire 4 4" xfId="439" xr:uid="{07BE16E3-56DF-4766-A078-8D9AA1A63EB2}"/>
    <cellStyle name="Monétaire 5" xfId="159" xr:uid="{7047F394-4A33-4350-A197-88AC032A506D}"/>
    <cellStyle name="Monétaire 6" xfId="163" xr:uid="{FB430916-63B3-4DC8-8917-A28A35A52AB0}"/>
    <cellStyle name="Monétaire 7" xfId="172" xr:uid="{5868978A-D50C-4B6D-BA6F-58064BBD19EF}"/>
    <cellStyle name="Monétaire 8" xfId="176" xr:uid="{1F2EB85B-263A-4C12-835F-0CA60CB819D2}"/>
    <cellStyle name="Neutre 2" xfId="394" xr:uid="{6A3AC38F-ABDB-470F-AD79-1DB7C4E0EF1F}"/>
    <cellStyle name="Normal" xfId="0" builtinId="0"/>
    <cellStyle name="Normal 10" xfId="173" xr:uid="{3A62C474-C64A-4DE6-9BC5-59971F156449}"/>
    <cellStyle name="Normal 11" xfId="174" xr:uid="{EED64814-F596-49F4-B78D-9EDAAABBF872}"/>
    <cellStyle name="Normal 11 2" xfId="192" xr:uid="{56BD8AD1-E190-49CB-B60F-A4AF5F9DAFD3}"/>
    <cellStyle name="Normal 11 2 2" xfId="520" xr:uid="{CE7B5573-B28D-4261-8D9E-308488D37CF0}"/>
    <cellStyle name="Normal 12" xfId="178" xr:uid="{926A1F7B-0AC7-441D-B96F-5F19B1C7C751}"/>
    <cellStyle name="Normal 12 2" xfId="180" xr:uid="{97CCF8B9-711C-48BC-A573-023A6E7A2EEB}"/>
    <cellStyle name="Normal 13" xfId="181" xr:uid="{35F39CEC-FF5F-4209-94EF-5EAF6B2653E1}"/>
    <cellStyle name="Normal 13 2" xfId="519" xr:uid="{A724E07E-5BCC-4465-A470-6A6E98AE65ED}"/>
    <cellStyle name="Normal 14" xfId="187" xr:uid="{90C3E14F-90A6-4E37-8545-BE493C9D117B}"/>
    <cellStyle name="Normal 2" xfId="6" xr:uid="{00000000-0005-0000-0000-00003A000000}"/>
    <cellStyle name="Normal 2 10" xfId="164" xr:uid="{A16BE649-D628-4317-A780-835F97C1C7DE}"/>
    <cellStyle name="Normal 2 10 2" xfId="177" xr:uid="{73250EA9-551F-4DC3-AA0A-B9A5EA133806}"/>
    <cellStyle name="Normal 2 10 3" xfId="337" xr:uid="{61F8D9B2-20C5-4515-B891-5C65C23B4F4D}"/>
    <cellStyle name="Normal 2 11" xfId="182" xr:uid="{39CB7FD6-86CB-41F0-A6E5-70F81BD18C34}"/>
    <cellStyle name="Normal 2 11 2" xfId="521" xr:uid="{9592908F-A6BB-42E5-8D3C-2D2E069C6B58}"/>
    <cellStyle name="Normal 2 12" xfId="183" xr:uid="{0E91FF9A-FDDC-4650-A5B2-0BB0715B2BDD}"/>
    <cellStyle name="Normal 2 13" xfId="188" xr:uid="{E8E179C6-8831-4453-8AF5-B35FA878EDB2}"/>
    <cellStyle name="Normal 2 14" xfId="372" xr:uid="{D5AAACA8-654D-4C5B-90D9-4EEE89F37D1C}"/>
    <cellStyle name="Normal 2 2" xfId="7" xr:uid="{00000000-0005-0000-0000-00003B000000}"/>
    <cellStyle name="Normal 2 2 10" xfId="179" xr:uid="{D252FFB6-96DC-46EB-B99F-38F979CA59C9}"/>
    <cellStyle name="Normal 2 2 11" xfId="201" xr:uid="{E25E0B0D-7DCE-421D-899D-ED39E762BEB5}"/>
    <cellStyle name="Normal 2 2 12" xfId="373" xr:uid="{253754CC-F904-4713-A890-0FE372A7364C}"/>
    <cellStyle name="Normal 2 2 2" xfId="8" xr:uid="{00000000-0005-0000-0000-00003C000000}"/>
    <cellStyle name="Normal 2 2 2 2" xfId="9" xr:uid="{00000000-0005-0000-0000-00003D000000}"/>
    <cellStyle name="Normal 2 2 2 2 2" xfId="32" xr:uid="{00000000-0005-0000-0000-00003E000000}"/>
    <cellStyle name="Normal 2 2 2 2 2 2" xfId="121" xr:uid="{00000000-0005-0000-0000-00003F000000}"/>
    <cellStyle name="Normal 2 2 2 2 2 2 2" xfId="307" xr:uid="{02993D1E-13F2-4276-AB19-194124A5B5A4}"/>
    <cellStyle name="Normal 2 2 2 2 2 2 3" xfId="491" xr:uid="{638A0EF8-911F-485F-B4A5-A792D54F087B}"/>
    <cellStyle name="Normal 2 2 2 2 2 3" xfId="224" xr:uid="{FA23EBED-3F92-42FF-803E-CEC8B95F8D00}"/>
    <cellStyle name="Normal 2 2 2 2 2 4" xfId="420" xr:uid="{DD6A75B8-F590-4614-99AA-15DB82C68BA8}"/>
    <cellStyle name="Normal 2 2 2 2 3" xfId="33" xr:uid="{00000000-0005-0000-0000-000040000000}"/>
    <cellStyle name="Normal 2 2 2 2 3 2" xfId="225" xr:uid="{C85DE93F-0A10-4249-AE1B-52AC36C0E944}"/>
    <cellStyle name="Normal 2 2 2 2 3 3" xfId="444" xr:uid="{1CAA4076-89D4-4733-9302-E7D957D8EF07}"/>
    <cellStyle name="Normal 2 2 2 2 4" xfId="203" xr:uid="{FAE51CFE-04F5-4019-BE91-324C9FDD4F93}"/>
    <cellStyle name="Normal 2 2 2 2 5" xfId="375" xr:uid="{AD2AA498-0DDB-4350-AECC-7594323E8407}"/>
    <cellStyle name="Normal 2 2 2 3" xfId="25" xr:uid="{00000000-0005-0000-0000-000041000000}"/>
    <cellStyle name="Normal 2 2 2 3 2" xfId="34" xr:uid="{00000000-0005-0000-0000-000042000000}"/>
    <cellStyle name="Normal 2 2 2 3 2 2" xfId="122" xr:uid="{00000000-0005-0000-0000-000043000000}"/>
    <cellStyle name="Normal 2 2 2 3 2 2 2" xfId="308" xr:uid="{7BBB4018-A9FA-4F7C-961A-735CE718510C}"/>
    <cellStyle name="Normal 2 2 2 3 2 2 3" xfId="504" xr:uid="{7C3B62FE-CFB6-443A-A22C-0337C52F3FB1}"/>
    <cellStyle name="Normal 2 2 2 3 2 3" xfId="226" xr:uid="{C0F6B81E-C0CA-42A1-8467-7CC60F264143}"/>
    <cellStyle name="Normal 2 2 2 3 2 4" xfId="433" xr:uid="{C1A0300C-229B-4EFD-AFC5-572E6DCEA3F7}"/>
    <cellStyle name="Normal 2 2 2 3 3" xfId="27" xr:uid="{00000000-0005-0000-0000-000044000000}"/>
    <cellStyle name="Normal 2 2 2 3 3 2" xfId="72" xr:uid="{00000000-0005-0000-0000-000045000000}"/>
    <cellStyle name="Normal 2 2 2 3 3 2 2" xfId="260" xr:uid="{1E4E03BA-3FB5-44F5-95BD-138566917638}"/>
    <cellStyle name="Normal 2 2 2 3 3 3" xfId="219" xr:uid="{2D83410D-FA51-41DB-A525-A5902F4C6108}"/>
    <cellStyle name="Normal 2 2 2 3 3 4" xfId="457" xr:uid="{EC3B0A84-CD09-40CD-9E3E-E53804A76903}"/>
    <cellStyle name="Normal 2 2 2 3 4" xfId="35" xr:uid="{00000000-0005-0000-0000-000046000000}"/>
    <cellStyle name="Normal 2 2 2 3 4 2" xfId="227" xr:uid="{9FA63DD5-D6FC-4733-8325-ACE51E7D0689}"/>
    <cellStyle name="Normal 2 2 2 3 5" xfId="217" xr:uid="{AC905519-8695-4C8A-9F6C-01538A52F122}"/>
    <cellStyle name="Normal 2 2 2 3 6" xfId="388" xr:uid="{0347DC6D-5FBC-4DC7-9DB6-E1CEC37A27E7}"/>
    <cellStyle name="Normal 2 2 2 4" xfId="36" xr:uid="{00000000-0005-0000-0000-000047000000}"/>
    <cellStyle name="Normal 2 2 2 4 2" xfId="123" xr:uid="{00000000-0005-0000-0000-000048000000}"/>
    <cellStyle name="Normal 2 2 2 4 2 2" xfId="309" xr:uid="{E0721E54-80BE-4039-B7E3-EF8080505726}"/>
    <cellStyle name="Normal 2 2 2 4 2 3" xfId="490" xr:uid="{E661F8D4-B20F-44EC-B0CC-7F2637C9600B}"/>
    <cellStyle name="Normal 2 2 2 4 3" xfId="228" xr:uid="{51A21B10-B09E-4754-A2D3-C3F6BEE8B98A}"/>
    <cellStyle name="Normal 2 2 2 4 4" xfId="419" xr:uid="{3A27FCED-3AAA-46C3-BDBF-4AE35069656C}"/>
    <cellStyle name="Normal 2 2 2 5" xfId="37" xr:uid="{00000000-0005-0000-0000-000049000000}"/>
    <cellStyle name="Normal 2 2 2 5 2" xfId="229" xr:uid="{CB3BFC09-B3B2-4FD8-A0A1-7E1EBDEF240F}"/>
    <cellStyle name="Normal 2 2 2 5 3" xfId="443" xr:uid="{CFE08F59-D62C-4184-B2F4-5C6908040A06}"/>
    <cellStyle name="Normal 2 2 2 6" xfId="202" xr:uid="{6E3F6B30-03D3-476F-B554-517C8CAAADA8}"/>
    <cellStyle name="Normal 2 2 2 7" xfId="374" xr:uid="{4D180925-AF42-4A7A-9B5A-C99ACA680A15}"/>
    <cellStyle name="Normal 2 2 3" xfId="10" xr:uid="{00000000-0005-0000-0000-00004A000000}"/>
    <cellStyle name="Normal 2 2 3 2" xfId="11" xr:uid="{00000000-0005-0000-0000-00004B000000}"/>
    <cellStyle name="Normal 2 2 3 2 2" xfId="38" xr:uid="{00000000-0005-0000-0000-00004C000000}"/>
    <cellStyle name="Normal 2 2 3 2 2 2" xfId="124" xr:uid="{00000000-0005-0000-0000-00004D000000}"/>
    <cellStyle name="Normal 2 2 3 2 2 2 2" xfId="310" xr:uid="{8B8481A8-BAAF-442C-B7E4-A233B7F1C4D2}"/>
    <cellStyle name="Normal 2 2 3 2 2 2 3" xfId="493" xr:uid="{F7FB72C8-3C37-4347-BDE9-2ED605B06C0D}"/>
    <cellStyle name="Normal 2 2 3 2 2 3" xfId="230" xr:uid="{4BF56401-6A46-4294-B00A-09DEAC3E1B1C}"/>
    <cellStyle name="Normal 2 2 3 2 2 4" xfId="422" xr:uid="{6231EBA3-A405-48CC-B2AE-3A68E35622A9}"/>
    <cellStyle name="Normal 2 2 3 2 3" xfId="39" xr:uid="{00000000-0005-0000-0000-00004E000000}"/>
    <cellStyle name="Normal 2 2 3 2 3 2" xfId="231" xr:uid="{1DF7650E-1105-4C17-BDB1-4DAA66A715A1}"/>
    <cellStyle name="Normal 2 2 3 2 3 3" xfId="446" xr:uid="{134A752A-6D7A-480B-8509-03E958C21B5B}"/>
    <cellStyle name="Normal 2 2 3 2 4" xfId="205" xr:uid="{307A0F04-173A-493C-B324-08A6236C921A}"/>
    <cellStyle name="Normal 2 2 3 2 5" xfId="377" xr:uid="{AF85ED2E-C9DA-4908-86A8-73EA23E5FEEA}"/>
    <cellStyle name="Normal 2 2 3 3" xfId="40" xr:uid="{00000000-0005-0000-0000-00004F000000}"/>
    <cellStyle name="Normal 2 2 3 3 2" xfId="125" xr:uid="{00000000-0005-0000-0000-000050000000}"/>
    <cellStyle name="Normal 2 2 3 3 2 2" xfId="311" xr:uid="{19A61085-3B99-42C9-9A61-FACE6F935809}"/>
    <cellStyle name="Normal 2 2 3 3 2 3" xfId="492" xr:uid="{44D4844C-2C73-4CF5-BD2F-6B8AB4B04BF1}"/>
    <cellStyle name="Normal 2 2 3 3 3" xfId="232" xr:uid="{5BC7630E-E665-4432-A17E-3D528769C922}"/>
    <cellStyle name="Normal 2 2 3 3 4" xfId="421" xr:uid="{EC18D650-6CCB-4BAF-8184-5DC66B82D08F}"/>
    <cellStyle name="Normal 2 2 3 4" xfId="41" xr:uid="{00000000-0005-0000-0000-000051000000}"/>
    <cellStyle name="Normal 2 2 3 4 2" xfId="233" xr:uid="{25FED1FE-8F5D-4B9C-8B2E-AF2AF6AA85EF}"/>
    <cellStyle name="Normal 2 2 3 4 3" xfId="445" xr:uid="{E3B41A0E-EECC-4350-B101-DF183241238B}"/>
    <cellStyle name="Normal 2 2 3 5" xfId="204" xr:uid="{7722073C-8EFF-4B11-9882-54E27368E97B}"/>
    <cellStyle name="Normal 2 2 3 6" xfId="376" xr:uid="{E2F68FF1-4944-414F-B92E-77E7D3347CA7}"/>
    <cellStyle name="Normal 2 2 4" xfId="12" xr:uid="{00000000-0005-0000-0000-000052000000}"/>
    <cellStyle name="Normal 2 2 4 2" xfId="13" xr:uid="{00000000-0005-0000-0000-000053000000}"/>
    <cellStyle name="Normal 2 2 4 2 2" xfId="42" xr:uid="{00000000-0005-0000-0000-000054000000}"/>
    <cellStyle name="Normal 2 2 4 2 2 2" xfId="126" xr:uid="{00000000-0005-0000-0000-000055000000}"/>
    <cellStyle name="Normal 2 2 4 2 2 2 2" xfId="312" xr:uid="{0DD46382-FDE2-4D41-BAD7-31A8CB85F6F9}"/>
    <cellStyle name="Normal 2 2 4 2 2 2 3" xfId="495" xr:uid="{13BF2FAF-83A1-4F86-A96F-11CAD365C9A6}"/>
    <cellStyle name="Normal 2 2 4 2 2 3" xfId="234" xr:uid="{FB36DA9F-FAED-459B-8DBF-C159C2A3C690}"/>
    <cellStyle name="Normal 2 2 4 2 2 4" xfId="424" xr:uid="{353F1B37-9CA0-46F9-A3E7-5B98C2670A77}"/>
    <cellStyle name="Normal 2 2 4 2 3" xfId="43" xr:uid="{00000000-0005-0000-0000-000056000000}"/>
    <cellStyle name="Normal 2 2 4 2 3 2" xfId="235" xr:uid="{89CB96E5-334E-478D-BAB5-22366A626826}"/>
    <cellStyle name="Normal 2 2 4 2 3 3" xfId="448" xr:uid="{DA6A998D-DA51-4C58-9314-7F5F5E0B2EF1}"/>
    <cellStyle name="Normal 2 2 4 2 4" xfId="207" xr:uid="{767990B9-28AD-426F-B759-6C94FB46C1DD}"/>
    <cellStyle name="Normal 2 2 4 2 5" xfId="379" xr:uid="{9C6870C1-E622-493A-82C0-173138F8CE57}"/>
    <cellStyle name="Normal 2 2 4 3" xfId="44" xr:uid="{00000000-0005-0000-0000-000057000000}"/>
    <cellStyle name="Normal 2 2 4 3 2" xfId="127" xr:uid="{00000000-0005-0000-0000-000058000000}"/>
    <cellStyle name="Normal 2 2 4 3 2 2" xfId="313" xr:uid="{7271501D-DDAD-464D-B59C-D6238392832B}"/>
    <cellStyle name="Normal 2 2 4 3 2 3" xfId="494" xr:uid="{84670499-0BCF-4B25-B739-49076566CE21}"/>
    <cellStyle name="Normal 2 2 4 3 3" xfId="236" xr:uid="{07236F67-11B1-4DFB-BC9A-A0DAE4C737C0}"/>
    <cellStyle name="Normal 2 2 4 3 4" xfId="423" xr:uid="{AFF57BDA-2C3F-48A8-9856-6C7B063885D4}"/>
    <cellStyle name="Normal 2 2 4 4" xfId="45" xr:uid="{00000000-0005-0000-0000-000059000000}"/>
    <cellStyle name="Normal 2 2 4 4 2" xfId="237" xr:uid="{89BFDFAD-EB05-4F21-BCE8-AF24CA701A80}"/>
    <cellStyle name="Normal 2 2 4 4 3" xfId="447" xr:uid="{D34E0123-D80B-4FD3-BAC4-980E56541B09}"/>
    <cellStyle name="Normal 2 2 4 5" xfId="206" xr:uid="{49955392-17E8-403B-9422-143CAB6DE0C2}"/>
    <cellStyle name="Normal 2 2 4 6" xfId="378" xr:uid="{4749D540-B302-4534-AE9F-92C73529AAC7}"/>
    <cellStyle name="Normal 2 2 5" xfId="14" xr:uid="{00000000-0005-0000-0000-00005A000000}"/>
    <cellStyle name="Normal 2 2 5 2" xfId="46" xr:uid="{00000000-0005-0000-0000-00005B000000}"/>
    <cellStyle name="Normal 2 2 5 2 2" xfId="128" xr:uid="{00000000-0005-0000-0000-00005C000000}"/>
    <cellStyle name="Normal 2 2 5 2 2 2" xfId="314" xr:uid="{E26356A8-C8E0-43BB-946B-6A55A7F5FF72}"/>
    <cellStyle name="Normal 2 2 5 2 2 3" xfId="496" xr:uid="{BE7A0C4E-60E0-45B4-893E-2B65968485AF}"/>
    <cellStyle name="Normal 2 2 5 2 3" xfId="238" xr:uid="{A822F0F6-E671-4F94-8D41-BB0F93871346}"/>
    <cellStyle name="Normal 2 2 5 2 4" xfId="425" xr:uid="{2D753EA2-7C0D-456F-84A7-1BB65FCFC3A6}"/>
    <cellStyle name="Normal 2 2 5 3" xfId="47" xr:uid="{00000000-0005-0000-0000-00005D000000}"/>
    <cellStyle name="Normal 2 2 5 3 2" xfId="239" xr:uid="{EDF567F3-C0D2-4C08-A3A9-6D412C9AD1BF}"/>
    <cellStyle name="Normal 2 2 5 3 3" xfId="449" xr:uid="{B6110EE3-C587-4748-AFCE-DDED10210EAC}"/>
    <cellStyle name="Normal 2 2 5 4" xfId="208" xr:uid="{6BBBF694-5F4E-4B5A-9E7C-56CCA9185A45}"/>
    <cellStyle name="Normal 2 2 5 5" xfId="380" xr:uid="{B240BC40-53DB-4120-82B3-2D45122817E2}"/>
    <cellStyle name="Normal 2 2 6" xfId="15" xr:uid="{00000000-0005-0000-0000-00005E000000}"/>
    <cellStyle name="Normal 2 2 6 2" xfId="48" xr:uid="{00000000-0005-0000-0000-00005F000000}"/>
    <cellStyle name="Normal 2 2 6 2 2" xfId="129" xr:uid="{00000000-0005-0000-0000-000060000000}"/>
    <cellStyle name="Normal 2 2 6 2 2 2" xfId="315" xr:uid="{F13588C3-5FB3-4C16-B93B-DB0E52F7A383}"/>
    <cellStyle name="Normal 2 2 6 2 2 3" xfId="497" xr:uid="{DADFD10B-512B-4179-B690-B1B63BBE5A42}"/>
    <cellStyle name="Normal 2 2 6 2 3" xfId="240" xr:uid="{0E96CFE0-4F54-4048-954D-EFD45B13E906}"/>
    <cellStyle name="Normal 2 2 6 2 4" xfId="426" xr:uid="{4BBBBEC2-22EC-471B-8B0C-D56586BCEA70}"/>
    <cellStyle name="Normal 2 2 6 3" xfId="49" xr:uid="{00000000-0005-0000-0000-000061000000}"/>
    <cellStyle name="Normal 2 2 6 3 2" xfId="241" xr:uid="{33FACE24-EBEC-4437-8D2E-42BB9B8050DF}"/>
    <cellStyle name="Normal 2 2 6 3 3" xfId="450" xr:uid="{5F4E88AF-AFCF-4E64-BE4C-1779CE060AB3}"/>
    <cellStyle name="Normal 2 2 6 4" xfId="209" xr:uid="{04FD61F1-E8EE-44B2-9550-0B33B63CA7FB}"/>
    <cellStyle name="Normal 2 2 6 5" xfId="381" xr:uid="{64E89F83-DE17-4EC7-93FB-58E011F9E07C}"/>
    <cellStyle name="Normal 2 2 7" xfId="50" xr:uid="{00000000-0005-0000-0000-000062000000}"/>
    <cellStyle name="Normal 2 2 7 2" xfId="130" xr:uid="{00000000-0005-0000-0000-000063000000}"/>
    <cellStyle name="Normal 2 2 7 2 2" xfId="316" xr:uid="{D27719A0-7563-452F-90B0-05022E5ADAA8}"/>
    <cellStyle name="Normal 2 2 7 2 3" xfId="489" xr:uid="{3310990E-B9DE-4B2F-BBE6-FD6491E192A7}"/>
    <cellStyle name="Normal 2 2 7 3" xfId="242" xr:uid="{1E49C359-E421-42D1-B0D3-3D3FA01AEF82}"/>
    <cellStyle name="Normal 2 2 7 4" xfId="418" xr:uid="{2158F7A2-097B-4746-AD90-AF7570F81CB3}"/>
    <cellStyle name="Normal 2 2 8" xfId="51" xr:uid="{00000000-0005-0000-0000-000064000000}"/>
    <cellStyle name="Normal 2 2 8 2" xfId="243" xr:uid="{4ABEA6E1-2607-4617-B764-DFFDB346EAA2}"/>
    <cellStyle name="Normal 2 2 8 3" xfId="442" xr:uid="{20A53923-095D-479A-81BF-A6CE5A6EA945}"/>
    <cellStyle name="Normal 2 2 9" xfId="155" xr:uid="{40EC2A19-1C58-4154-AB93-9A6E4D7319FE}"/>
    <cellStyle name="Normal 2 2 9 2" xfId="336" xr:uid="{FBF1C42E-22B3-4E05-AA6D-3F1267859C33}"/>
    <cellStyle name="Normal 2 3" xfId="16" xr:uid="{00000000-0005-0000-0000-000065000000}"/>
    <cellStyle name="Normal 2 3 2" xfId="17" xr:uid="{00000000-0005-0000-0000-000066000000}"/>
    <cellStyle name="Normal 2 3 2 2" xfId="52" xr:uid="{00000000-0005-0000-0000-000067000000}"/>
    <cellStyle name="Normal 2 3 2 2 2" xfId="131" xr:uid="{00000000-0005-0000-0000-000068000000}"/>
    <cellStyle name="Normal 2 3 2 2 2 2" xfId="317" xr:uid="{6FBBDA66-DEDF-4B8C-A9B1-52E073E98A8B}"/>
    <cellStyle name="Normal 2 3 2 2 2 3" xfId="499" xr:uid="{94E4FFE4-67DA-4C85-86F4-E7084C67A7ED}"/>
    <cellStyle name="Normal 2 3 2 2 3" xfId="244" xr:uid="{AB72B298-6556-41BF-8537-B7EA34BC57DD}"/>
    <cellStyle name="Normal 2 3 2 2 4" xfId="428" xr:uid="{9FF6D793-2380-4404-8D5E-C0D9995101E1}"/>
    <cellStyle name="Normal 2 3 2 3" xfId="53" xr:uid="{00000000-0005-0000-0000-000069000000}"/>
    <cellStyle name="Normal 2 3 2 3 2" xfId="245" xr:uid="{671F7885-0ACA-46AD-9375-79F116E16C23}"/>
    <cellStyle name="Normal 2 3 2 3 3" xfId="452" xr:uid="{815B030D-A355-46D1-92E9-CBDC8C93C8D7}"/>
    <cellStyle name="Normal 2 3 2 4" xfId="211" xr:uid="{5BA9BB02-9D00-4609-BC37-BB4EF6FD10F7}"/>
    <cellStyle name="Normal 2 3 2 5" xfId="383" xr:uid="{57D02FD6-4032-480E-BB8B-9F8A5303443D}"/>
    <cellStyle name="Normal 2 3 3" xfId="54" xr:uid="{00000000-0005-0000-0000-00006A000000}"/>
    <cellStyle name="Normal 2 3 3 2" xfId="132" xr:uid="{00000000-0005-0000-0000-00006B000000}"/>
    <cellStyle name="Normal 2 3 3 2 2" xfId="318" xr:uid="{046E7B1B-6DBB-4083-8B83-484666B79CED}"/>
    <cellStyle name="Normal 2 3 3 2 3" xfId="498" xr:uid="{8D047A3D-07DD-40B0-817A-C680EA89A4BE}"/>
    <cellStyle name="Normal 2 3 3 3" xfId="246" xr:uid="{458630B1-8682-40D2-987F-3E0397D209B7}"/>
    <cellStyle name="Normal 2 3 3 4" xfId="427" xr:uid="{0EFE4C52-911E-437B-966F-6586BC1D8A21}"/>
    <cellStyle name="Normal 2 3 4" xfId="55" xr:uid="{00000000-0005-0000-0000-00006C000000}"/>
    <cellStyle name="Normal 2 3 4 2" xfId="247" xr:uid="{195CD8B1-0D21-4ACC-9A01-9AC2C17210DF}"/>
    <cellStyle name="Normal 2 3 4 3" xfId="451" xr:uid="{4D1B70B7-E732-4192-9D3E-DF9B3553837B}"/>
    <cellStyle name="Normal 2 3 5" xfId="210" xr:uid="{70434CFD-E346-4CF7-86D9-C299FF8381DA}"/>
    <cellStyle name="Normal 2 3 6" xfId="382" xr:uid="{B3D6EF77-1DCA-472A-8588-2299E5C974CA}"/>
    <cellStyle name="Normal 2 4" xfId="18" xr:uid="{00000000-0005-0000-0000-00006D000000}"/>
    <cellStyle name="Normal 2 4 2" xfId="19" xr:uid="{00000000-0005-0000-0000-00006E000000}"/>
    <cellStyle name="Normal 2 4 2 2" xfId="56" xr:uid="{00000000-0005-0000-0000-00006F000000}"/>
    <cellStyle name="Normal 2 4 2 2 2" xfId="133" xr:uid="{00000000-0005-0000-0000-000070000000}"/>
    <cellStyle name="Normal 2 4 2 2 2 2" xfId="319" xr:uid="{4AC40499-6AD0-4B0C-9AF9-5DBBE2974E66}"/>
    <cellStyle name="Normal 2 4 2 2 2 3" xfId="501" xr:uid="{73613962-6074-4C66-8C8A-D7A478D1B874}"/>
    <cellStyle name="Normal 2 4 2 2 3" xfId="248" xr:uid="{B1B68970-9A52-4C72-AC0F-2D066BD2D6C6}"/>
    <cellStyle name="Normal 2 4 2 2 4" xfId="430" xr:uid="{992945AF-F2EC-49DE-8C32-898CB4BB4F4F}"/>
    <cellStyle name="Normal 2 4 2 3" xfId="57" xr:uid="{00000000-0005-0000-0000-000071000000}"/>
    <cellStyle name="Normal 2 4 2 3 2" xfId="249" xr:uid="{ABD94DCA-3D5C-46F3-A546-64150162041A}"/>
    <cellStyle name="Normal 2 4 2 3 3" xfId="454" xr:uid="{4D05ABBA-CFC3-4469-8B94-B42A401E061E}"/>
    <cellStyle name="Normal 2 4 2 4" xfId="213" xr:uid="{A6F54222-41AC-4BEF-BE71-470E100870D7}"/>
    <cellStyle name="Normal 2 4 2 5" xfId="385" xr:uid="{F179898A-DC88-42BE-9705-BD2374EC2CCF}"/>
    <cellStyle name="Normal 2 4 3" xfId="58" xr:uid="{00000000-0005-0000-0000-000072000000}"/>
    <cellStyle name="Normal 2 4 3 2" xfId="134" xr:uid="{00000000-0005-0000-0000-000073000000}"/>
    <cellStyle name="Normal 2 4 3 2 2" xfId="320" xr:uid="{BE462A2A-2DBA-4063-A7D8-0D5598BF7F46}"/>
    <cellStyle name="Normal 2 4 3 2 3" xfId="500" xr:uid="{6549DD15-3FFA-47BA-B48A-09D034109CCF}"/>
    <cellStyle name="Normal 2 4 3 3" xfId="250" xr:uid="{7BA43248-89E0-48A3-B47F-8CA8FBA72EDA}"/>
    <cellStyle name="Normal 2 4 3 4" xfId="429" xr:uid="{4EBE9A85-5776-4BBC-8BC6-802D95A580B3}"/>
    <cellStyle name="Normal 2 4 4" xfId="59" xr:uid="{00000000-0005-0000-0000-000074000000}"/>
    <cellStyle name="Normal 2 4 4 2" xfId="251" xr:uid="{45E9D83E-E5A9-4590-AE1E-517C029E1484}"/>
    <cellStyle name="Normal 2 4 4 3" xfId="453" xr:uid="{7C6B33D2-47FE-4DCA-BD4D-2D62AEC4280A}"/>
    <cellStyle name="Normal 2 4 5" xfId="212" xr:uid="{2B68DF39-1845-4230-B2D2-9A0F7BD1A742}"/>
    <cellStyle name="Normal 2 4 6" xfId="384" xr:uid="{60098CA6-DC03-4C82-8865-1352184DB2E8}"/>
    <cellStyle name="Normal 2 5" xfId="20" xr:uid="{00000000-0005-0000-0000-000075000000}"/>
    <cellStyle name="Normal 2 5 2" xfId="60" xr:uid="{00000000-0005-0000-0000-000076000000}"/>
    <cellStyle name="Normal 2 5 2 2" xfId="135" xr:uid="{00000000-0005-0000-0000-000077000000}"/>
    <cellStyle name="Normal 2 5 2 2 2" xfId="321" xr:uid="{234D5EE9-AEFC-423A-BE9B-DE035A6219B2}"/>
    <cellStyle name="Normal 2 5 2 2 3" xfId="502" xr:uid="{6F70D5E8-43C3-4767-A5C5-3E1A34ABC0CD}"/>
    <cellStyle name="Normal 2 5 2 3" xfId="252" xr:uid="{014BCB8C-9CDD-401C-89C0-8FECBD8DA7FB}"/>
    <cellStyle name="Normal 2 5 2 4" xfId="431" xr:uid="{4DE50649-FA8F-4DBC-A5D6-18A4ECFC3AC9}"/>
    <cellStyle name="Normal 2 5 3" xfId="61" xr:uid="{00000000-0005-0000-0000-000078000000}"/>
    <cellStyle name="Normal 2 5 3 2" xfId="253" xr:uid="{0EB76F56-0548-4A51-8D65-B1090ABD419A}"/>
    <cellStyle name="Normal 2 5 3 3" xfId="455" xr:uid="{84D9CD1C-A7C4-410B-996E-708267415763}"/>
    <cellStyle name="Normal 2 5 4" xfId="214" xr:uid="{52CD58B4-FB05-45EC-8892-90DE11E234F7}"/>
    <cellStyle name="Normal 2 5 5" xfId="386" xr:uid="{7BE3E761-39C7-4509-B85E-FA175D64D594}"/>
    <cellStyle name="Normal 2 6" xfId="21" xr:uid="{00000000-0005-0000-0000-000079000000}"/>
    <cellStyle name="Normal 2 6 2" xfId="62" xr:uid="{00000000-0005-0000-0000-00007A000000}"/>
    <cellStyle name="Normal 2 6 2 2" xfId="136" xr:uid="{00000000-0005-0000-0000-00007B000000}"/>
    <cellStyle name="Normal 2 6 2 2 2" xfId="322" xr:uid="{B73176D7-E5A7-4D44-ACB9-611D7671B393}"/>
    <cellStyle name="Normal 2 6 2 2 3" xfId="503" xr:uid="{6C85ADD1-84EB-408B-B7E5-E8959C05B879}"/>
    <cellStyle name="Normal 2 6 2 3" xfId="254" xr:uid="{E204E232-2536-4758-83D3-FAB18F74352D}"/>
    <cellStyle name="Normal 2 6 2 4" xfId="432" xr:uid="{82FE9F9E-3260-4D61-9EAF-4468E47479B4}"/>
    <cellStyle name="Normal 2 6 3" xfId="63" xr:uid="{00000000-0005-0000-0000-00007C000000}"/>
    <cellStyle name="Normal 2 6 3 2" xfId="255" xr:uid="{906CAEDC-7A9D-4D1E-9ECC-3940DD8CC3A4}"/>
    <cellStyle name="Normal 2 6 3 3" xfId="456" xr:uid="{FF8C7314-0035-4038-96A6-9DF8E0F65065}"/>
    <cellStyle name="Normal 2 6 4" xfId="215" xr:uid="{3E812ECF-BB2A-4C38-9F49-34A13959E992}"/>
    <cellStyle name="Normal 2 6 5" xfId="387" xr:uid="{DB9433F8-5F08-4267-ABD1-1F6829A8BCA6}"/>
    <cellStyle name="Normal 2 7" xfId="64" xr:uid="{00000000-0005-0000-0000-00007D000000}"/>
    <cellStyle name="Normal 2 7 2" xfId="137" xr:uid="{00000000-0005-0000-0000-00007E000000}"/>
    <cellStyle name="Normal 2 7 2 2" xfId="323" xr:uid="{B2F2ECEE-D67D-44F2-8E7C-57347D36F439}"/>
    <cellStyle name="Normal 2 7 2 3" xfId="488" xr:uid="{D57503F4-289F-467A-B02E-55679E51BA20}"/>
    <cellStyle name="Normal 2 7 3" xfId="256" xr:uid="{3CB8B155-ABBD-43DF-9FC2-3B0D4277D9F3}"/>
    <cellStyle name="Normal 2 7 4" xfId="417" xr:uid="{54DF2303-C690-4F1B-A2DE-3E315D8E7684}"/>
    <cellStyle name="Normal 2 8" xfId="65" xr:uid="{00000000-0005-0000-0000-00007F000000}"/>
    <cellStyle name="Normal 2 8 2" xfId="73" xr:uid="{00000000-0005-0000-0000-000080000000}"/>
    <cellStyle name="Normal 2 8 2 2" xfId="74" xr:uid="{00000000-0005-0000-0000-000081000000}"/>
    <cellStyle name="Normal 2 8 2 2 2" xfId="194" xr:uid="{A0129475-F456-4BED-AB30-F4F1D6DC4746}"/>
    <cellStyle name="Normal 2 8 2 2 2 2" xfId="523" xr:uid="{763C122A-367C-46DF-9377-9C1D2ACADBE1}"/>
    <cellStyle name="Normal 2 8 2 2 3" xfId="262" xr:uid="{1FD5107F-136A-401C-B3E8-03673138218B}"/>
    <cellStyle name="Normal 2 8 2 3" xfId="261" xr:uid="{CA42C86A-0F83-41BC-A46A-563D535D842F}"/>
    <cellStyle name="Normal 2 8 2 4" xfId="511" xr:uid="{CCF33323-89EE-4A1E-B4FF-E75AA4B2DEEE}"/>
    <cellStyle name="Normal 2 8 3" xfId="138" xr:uid="{00000000-0005-0000-0000-000082000000}"/>
    <cellStyle name="Normal 2 8 3 2" xfId="150" xr:uid="{7AC66C66-5171-4972-95FF-98D64FE7CB07}"/>
    <cellStyle name="Normal 2 8 3 2 2" xfId="152" xr:uid="{CA0B2DEC-6F35-4B18-81E8-C4422B73E0D9}"/>
    <cellStyle name="Normal 2 8 3 2 2 2" xfId="167" xr:uid="{003DA069-43B3-4EA5-82AE-D9B86058E29C}"/>
    <cellStyle name="Normal 2 8 3 2 2 2 2" xfId="525" xr:uid="{A155E984-13B5-44F3-937E-82A6F49DDC91}"/>
    <cellStyle name="Normal 2 8 3 2 2 3" xfId="184" xr:uid="{29BC6710-2B16-4E97-90EB-2001916BFCA2}"/>
    <cellStyle name="Normal 2 8 3 2 2 3 2" xfId="527" xr:uid="{165CC409-A7D3-43DB-A98E-5AA5237B6EF1}"/>
    <cellStyle name="Normal 2 8 3 2 2 4" xfId="189" xr:uid="{1A6CA221-C96D-4D22-8343-92D2D7412A15}"/>
    <cellStyle name="Normal 2 8 3 2 2 5" xfId="333" xr:uid="{5ABEF7F1-2A1E-4F3C-A0AF-B0B13C8B2B17}"/>
    <cellStyle name="Normal 2 8 3 2 3" xfId="331" xr:uid="{71A000BC-241D-4713-B194-8EB9155545D4}"/>
    <cellStyle name="Normal 2 8 3 3" xfId="195" xr:uid="{EFBD9233-18AD-4F88-881A-F66FE1E048F3}"/>
    <cellStyle name="Normal 2 8 3 3 2" xfId="526" xr:uid="{2A929C02-3B62-4D57-B7B0-B68A710697B8}"/>
    <cellStyle name="Normal 2 8 3 4" xfId="512" xr:uid="{FB1005D2-A2B1-48A4-85C5-AD8E51FF0E8D}"/>
    <cellStyle name="Normal 2 8 4" xfId="149" xr:uid="{9181FE1F-854B-4F4F-AF3C-A68C9B6B92B7}"/>
    <cellStyle name="Normal 2 8 4 2" xfId="151" xr:uid="{5082FA26-3C82-4DC6-A3B6-A061C09A9945}"/>
    <cellStyle name="Normal 2 8 4 2 2" xfId="156" xr:uid="{7D01818E-C3C8-4750-A193-06E3ACC5C24E}"/>
    <cellStyle name="Normal 2 8 4 2 3" xfId="168" xr:uid="{B94CC8DF-4D8E-45E8-858B-18964C29172A}"/>
    <cellStyle name="Normal 2 8 4 2 3 2" xfId="524" xr:uid="{B4746B51-5F67-4A0F-93B3-5D691ECDE071}"/>
    <cellStyle name="Normal 2 8 4 2 4" xfId="185" xr:uid="{812EC7F3-8B1F-4289-BC78-B95A6884F64B}"/>
    <cellStyle name="Normal 2 8 4 2 4 2" xfId="528" xr:uid="{791C1B4E-D1F5-4A32-911B-0670EB6D58A4}"/>
    <cellStyle name="Normal 2 8 4 2 5" xfId="190" xr:uid="{F6AC16A1-0A49-4BA0-9635-BCBA5250B8A0}"/>
    <cellStyle name="Normal 2 8 4 2 6" xfId="332" xr:uid="{9766A528-0651-48EF-B3B5-45205D32D867}"/>
    <cellStyle name="Normal 2 8 4 3" xfId="330" xr:uid="{BE421EB3-C167-4911-BA4E-164C3CC0EAB9}"/>
    <cellStyle name="Normal 2 8 4 4" xfId="513" xr:uid="{AEC53616-AF77-4B6D-B363-40B59839ECC6}"/>
    <cellStyle name="Normal 2 8 5" xfId="166" xr:uid="{8FAD7A60-5CAE-40C5-855B-806B0E91B02D}"/>
    <cellStyle name="Normal 2 8 5 2" xfId="514" xr:uid="{0082F425-923F-4792-9A89-A0ECA5B98743}"/>
    <cellStyle name="Normal 2 8 6" xfId="440" xr:uid="{9DAFDB1E-67E0-41FF-8ECE-0835AFF5D980}"/>
    <cellStyle name="Normal 2 8 9" xfId="193" xr:uid="{0F4C38DD-B344-4025-82ED-DEEDCCD69BC9}"/>
    <cellStyle name="Normal 2 8 9 2" xfId="522" xr:uid="{BBC0C470-0EE7-41EB-88EC-3BDB0588AB58}"/>
    <cellStyle name="Normal 2 9" xfId="68" xr:uid="{00000000-0005-0000-0000-000083000000}"/>
    <cellStyle name="Normal 2 9 2" xfId="139" xr:uid="{00000000-0005-0000-0000-000084000000}"/>
    <cellStyle name="Normal 2 9 3" xfId="441" xr:uid="{8EF4EDDA-CDC4-42DC-8664-144129672FDB}"/>
    <cellStyle name="Normal 3" xfId="22" xr:uid="{00000000-0005-0000-0000-000085000000}"/>
    <cellStyle name="Normal 3 2" xfId="516" xr:uid="{D384FF98-0244-4A38-924C-CDEA206BFDF5}"/>
    <cellStyle name="Normal 4" xfId="26" xr:uid="{00000000-0005-0000-0000-000086000000}"/>
    <cellStyle name="Normal 4 2" xfId="140" xr:uid="{00000000-0005-0000-0000-000087000000}"/>
    <cellStyle name="Normal 4 2 2" xfId="141" xr:uid="{00000000-0005-0000-0000-000088000000}"/>
    <cellStyle name="Normal 4 2 2 2" xfId="325" xr:uid="{5E97247C-EE45-452A-AEDC-5365CC5D6D45}"/>
    <cellStyle name="Normal 4 2 2 3" xfId="508" xr:uid="{6490293D-9106-42ED-82BA-24A7D8DFA909}"/>
    <cellStyle name="Normal 4 2 3" xfId="324" xr:uid="{33C8B0AE-DDD8-4CE8-9C86-CE392D291BF8}"/>
    <cellStyle name="Normal 4 2 4" xfId="437" xr:uid="{5887B5CD-4A4B-43C6-A842-848DE1F72C64}"/>
    <cellStyle name="Normal 4 3" xfId="142" xr:uid="{00000000-0005-0000-0000-000089000000}"/>
    <cellStyle name="Normal 4 3 2" xfId="326" xr:uid="{AD45DDD1-9D65-411C-B575-24447A742B67}"/>
    <cellStyle name="Normal 4 3 3" xfId="473" xr:uid="{429383E5-CDC0-4E72-8A5E-F98724EF9801}"/>
    <cellStyle name="Normal 4 4" xfId="153" xr:uid="{22BF452B-04D6-49C8-824E-E3BCB0DDAFAE}"/>
    <cellStyle name="Normal 4 4 2" xfId="169" xr:uid="{07264DDE-47F5-4F2F-997A-49FE9BC7BF79}"/>
    <cellStyle name="Normal 4 4 3" xfId="186" xr:uid="{ADA1E5C3-E2F8-47EF-95DA-8435C5A9C566}"/>
    <cellStyle name="Normal 4 4 3 2" xfId="529" xr:uid="{1FC973FF-9F81-46BC-A099-4D89DE1AC640}"/>
    <cellStyle name="Normal 4 4 4" xfId="191" xr:uid="{9FB22B4B-478A-4DBA-A9B9-CFE4536DE3FC}"/>
    <cellStyle name="Normal 4 4 5" xfId="334" xr:uid="{68C07F45-E698-4049-9B13-4837BE35148F}"/>
    <cellStyle name="Normal 4 5" xfId="165" xr:uid="{F01A6E57-5DC5-47C9-8F6E-F0B15A2D25A4}"/>
    <cellStyle name="Normal 4 6" xfId="218" xr:uid="{B4098FFC-70DB-4196-8D98-3166163B6BA5}"/>
    <cellStyle name="Normal 4 7" xfId="401" xr:uid="{24131544-1873-4071-8018-904C5A538B1B}"/>
    <cellStyle name="Normal 5" xfId="69" xr:uid="{00000000-0005-0000-0000-00008A000000}"/>
    <cellStyle name="Normal 5 2" xfId="143" xr:uid="{00000000-0005-0000-0000-00008B000000}"/>
    <cellStyle name="Normal 5 3" xfId="144" xr:uid="{00000000-0005-0000-0000-00008C000000}"/>
    <cellStyle name="Normal 5 3 2" xfId="327" xr:uid="{56C2FA2D-780F-4848-A61D-65945554453B}"/>
    <cellStyle name="Normal 5 4" xfId="259" xr:uid="{F2AE5AF9-9AD8-4DFF-BA05-A955532175C2}"/>
    <cellStyle name="Normal 6" xfId="70" xr:uid="{00000000-0005-0000-0000-00008D000000}"/>
    <cellStyle name="Normal 6 2" xfId="145" xr:uid="{00000000-0005-0000-0000-00008E000000}"/>
    <cellStyle name="Normal 6 2 2" xfId="328" xr:uid="{0F00ADEF-AA5B-447B-982A-069B961F2329}"/>
    <cellStyle name="Normal 6 2 3" xfId="475" xr:uid="{6EBFCF1D-CD88-4EE2-84F9-23C672058DA5}"/>
    <cellStyle name="Normal 6 3" xfId="146" xr:uid="{00000000-0005-0000-0000-00008F000000}"/>
    <cellStyle name="Normal 6 4" xfId="404" xr:uid="{ED8C66E8-1A6D-41BC-B95F-22D16854545C}"/>
    <cellStyle name="Normal 7" xfId="157" xr:uid="{79617E40-59C0-41C7-A03C-6B4EE6E8C7B8}"/>
    <cellStyle name="Normal 7 2" xfId="161" xr:uid="{324C5602-0563-4FC0-AAF4-CD30D2540EC3}"/>
    <cellStyle name="Normal 7 3" xfId="515" xr:uid="{E7E88E41-EDF7-4D9A-8BAD-5CC6B82F054E}"/>
    <cellStyle name="Normal 8" xfId="160" xr:uid="{D7A2C3A0-0744-4CFA-A593-F5017951BBF9}"/>
    <cellStyle name="Normal 8 2" xfId="517" xr:uid="{B0294960-7488-401C-B4FE-251C0415045A}"/>
    <cellStyle name="Normal 9" xfId="170" xr:uid="{C88C7960-0193-4DE9-8D3B-9B589A7B30CD}"/>
    <cellStyle name="Pourcentage 2" xfId="23" xr:uid="{00000000-0005-0000-0000-000090000000}"/>
    <cellStyle name="Pourcentage 3" xfId="24" xr:uid="{00000000-0005-0000-0000-000091000000}"/>
    <cellStyle name="Pourcentage 3 2" xfId="66" xr:uid="{00000000-0005-0000-0000-000092000000}"/>
    <cellStyle name="Pourcentage 3 2 2" xfId="147" xr:uid="{00000000-0005-0000-0000-000093000000}"/>
    <cellStyle name="Pourcentage 3 2 2 2" xfId="329" xr:uid="{D3C79D67-5DB0-4BE0-B366-8E5F866E1763}"/>
    <cellStyle name="Pourcentage 3 2 2 3" xfId="507" xr:uid="{932743D2-06DE-4BF5-8DD4-6E095B4C4F8A}"/>
    <cellStyle name="Pourcentage 3 2 3" xfId="257" xr:uid="{6FAD39AC-1849-491E-A4F6-C847274D4B94}"/>
    <cellStyle name="Pourcentage 3 2 4" xfId="436" xr:uid="{554081B4-9A7E-461D-A6FD-9BB67F045C8B}"/>
    <cellStyle name="Pourcentage 3 3" xfId="67" xr:uid="{00000000-0005-0000-0000-000094000000}"/>
    <cellStyle name="Pourcentage 3 3 2" xfId="258" xr:uid="{77848502-7FD9-4CA8-B496-F59DC40CD5E6}"/>
    <cellStyle name="Pourcentage 3 3 3" xfId="460" xr:uid="{5A5AD68C-728F-43F4-81AA-CEBC15FD223F}"/>
    <cellStyle name="Pourcentage 3 4" xfId="216" xr:uid="{4503559B-AFA4-4D76-ACC1-D7851C178339}"/>
    <cellStyle name="Pourcentage 3 5" xfId="392" xr:uid="{0FC913D9-5288-47A4-AAB2-10505D67A38A}"/>
    <cellStyle name="Pourcentage 4" xfId="158" xr:uid="{95C43C35-1336-401E-A59B-E2131336AC1E}"/>
    <cellStyle name="Pourcentage 5" xfId="162" xr:uid="{8CA4C324-2AA0-4444-B8CF-9DDF3351F7C1}"/>
    <cellStyle name="Pourcentage 6" xfId="171" xr:uid="{DBAF9562-9C7C-4845-B468-533860BC7938}"/>
    <cellStyle name="Pourcentage 7" xfId="175" xr:uid="{ABE8BDE0-906A-4F0D-8B47-712320089614}"/>
    <cellStyle name="Satisfaisant" xfId="342" builtinId="26" customBuiltin="1"/>
    <cellStyle name="Sortie" xfId="345" builtinId="21" customBuiltin="1"/>
    <cellStyle name="Standard 2" xfId="71" xr:uid="{00000000-0005-0000-0000-000095000000}"/>
    <cellStyle name="Texte explicatif" xfId="350" builtinId="53" customBuiltin="1"/>
    <cellStyle name="Titre 2" xfId="393" xr:uid="{938C35E2-17C3-4505-8C5F-8B30C3F05F71}"/>
    <cellStyle name="Titre 1" xfId="338" builtinId="16" customBuiltin="1"/>
    <cellStyle name="Titre 2" xfId="339" builtinId="17" customBuiltin="1"/>
    <cellStyle name="Titre 3" xfId="340" builtinId="18" customBuiltin="1"/>
    <cellStyle name="Titre 4" xfId="341" builtinId="19" customBuiltin="1"/>
    <cellStyle name="Total" xfId="351" builtinId="25" customBuiltin="1"/>
    <cellStyle name="Vérification" xfId="34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Excel\DEVIS\Devis%20au%2013.08.01\2053%20Plateforme%20Daimler%20Chrysler\resume.xlw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UBLIC\THIERRY\LYTHIA2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jt_390\projet%20en%20cours\692XXX\692443%20Batixis\CD%20DCE%20PILATERIE%20250309\04%20PIECES%20PROFIL\PIECES%20ECRITES\LOT%2016%20ECLAIRAGE%20EXT\16_DQE_ECLAIR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Devis"/>
      <sheetName val="recap matiere"/>
      <sheetName val="recap_matiere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UTE DE METRE"/>
      <sheetName val="PAGE DE GARDE"/>
    </sheetNames>
    <sheetDataSet>
      <sheetData sheetId="0">
        <row r="4">
          <cell r="E4">
            <v>1</v>
          </cell>
          <cell r="N4">
            <v>920000</v>
          </cell>
        </row>
        <row r="6">
          <cell r="E6">
            <v>1</v>
          </cell>
          <cell r="N6">
            <v>135000</v>
          </cell>
        </row>
        <row r="10">
          <cell r="E10">
            <v>3952</v>
          </cell>
          <cell r="N10">
            <v>250</v>
          </cell>
        </row>
        <row r="12">
          <cell r="E12">
            <v>228</v>
          </cell>
          <cell r="N12">
            <v>150</v>
          </cell>
        </row>
        <row r="14">
          <cell r="E14">
            <v>406</v>
          </cell>
          <cell r="N14">
            <v>80</v>
          </cell>
        </row>
        <row r="16">
          <cell r="E16">
            <v>92</v>
          </cell>
          <cell r="N16">
            <v>80</v>
          </cell>
        </row>
        <row r="18">
          <cell r="E18">
            <v>74</v>
          </cell>
          <cell r="N18">
            <v>350</v>
          </cell>
        </row>
        <row r="20">
          <cell r="E20">
            <v>3952</v>
          </cell>
          <cell r="N20">
            <v>10</v>
          </cell>
        </row>
        <row r="22">
          <cell r="E22">
            <v>1</v>
          </cell>
          <cell r="N22">
            <v>25000</v>
          </cell>
        </row>
        <row r="24">
          <cell r="E24">
            <v>40</v>
          </cell>
          <cell r="N24">
            <v>180</v>
          </cell>
        </row>
        <row r="26">
          <cell r="E26">
            <v>1</v>
          </cell>
          <cell r="N26">
            <v>8000</v>
          </cell>
        </row>
        <row r="29">
          <cell r="E29">
            <v>588</v>
          </cell>
          <cell r="N29">
            <v>150</v>
          </cell>
        </row>
        <row r="33">
          <cell r="E33">
            <v>326</v>
          </cell>
          <cell r="N33">
            <v>150</v>
          </cell>
        </row>
        <row r="38">
          <cell r="E38">
            <v>16</v>
          </cell>
          <cell r="N38">
            <v>100</v>
          </cell>
        </row>
        <row r="40">
          <cell r="E40">
            <v>102</v>
          </cell>
          <cell r="N40">
            <v>170</v>
          </cell>
        </row>
        <row r="44">
          <cell r="E44">
            <v>10</v>
          </cell>
          <cell r="N44">
            <v>250</v>
          </cell>
        </row>
        <row r="46">
          <cell r="E46">
            <v>10</v>
          </cell>
          <cell r="N46">
            <v>350</v>
          </cell>
        </row>
        <row r="48">
          <cell r="E48">
            <v>588</v>
          </cell>
          <cell r="N48">
            <v>10</v>
          </cell>
        </row>
        <row r="50">
          <cell r="E50">
            <v>100</v>
          </cell>
          <cell r="N50">
            <v>130</v>
          </cell>
        </row>
        <row r="52">
          <cell r="E52">
            <v>4</v>
          </cell>
          <cell r="N52">
            <v>7000</v>
          </cell>
        </row>
        <row r="55">
          <cell r="E55">
            <v>1</v>
          </cell>
          <cell r="N55">
            <v>75000</v>
          </cell>
        </row>
        <row r="57">
          <cell r="E57">
            <v>1</v>
          </cell>
          <cell r="N57">
            <v>160000</v>
          </cell>
        </row>
        <row r="64">
          <cell r="E64">
            <v>1</v>
          </cell>
          <cell r="N64">
            <v>9000</v>
          </cell>
        </row>
        <row r="66">
          <cell r="E66">
            <v>1</v>
          </cell>
          <cell r="N66">
            <v>16000</v>
          </cell>
        </row>
        <row r="68">
          <cell r="E68">
            <v>1</v>
          </cell>
        </row>
        <row r="71">
          <cell r="E71">
            <v>2</v>
          </cell>
          <cell r="N71">
            <v>6500</v>
          </cell>
        </row>
        <row r="73">
          <cell r="E73">
            <v>2</v>
          </cell>
          <cell r="N73">
            <v>9500</v>
          </cell>
        </row>
        <row r="75">
          <cell r="E75">
            <v>1</v>
          </cell>
          <cell r="N75">
            <v>10000</v>
          </cell>
        </row>
        <row r="77">
          <cell r="E77">
            <v>1</v>
          </cell>
          <cell r="N77">
            <v>9600</v>
          </cell>
        </row>
        <row r="79">
          <cell r="E79">
            <v>1</v>
          </cell>
          <cell r="N79">
            <v>3500</v>
          </cell>
        </row>
        <row r="81">
          <cell r="E81">
            <v>171</v>
          </cell>
          <cell r="N81">
            <v>700</v>
          </cell>
        </row>
        <row r="87">
          <cell r="E87">
            <v>84</v>
          </cell>
          <cell r="N87">
            <v>350</v>
          </cell>
        </row>
        <row r="89">
          <cell r="E89">
            <v>1</v>
          </cell>
          <cell r="N89">
            <v>3000</v>
          </cell>
        </row>
        <row r="91">
          <cell r="E91">
            <v>15</v>
          </cell>
          <cell r="N91">
            <v>800</v>
          </cell>
        </row>
        <row r="93">
          <cell r="E93">
            <v>1</v>
          </cell>
          <cell r="N93">
            <v>15000</v>
          </cell>
        </row>
        <row r="95">
          <cell r="E95">
            <v>10</v>
          </cell>
          <cell r="N95">
            <v>600</v>
          </cell>
        </row>
        <row r="97">
          <cell r="E97">
            <v>1</v>
          </cell>
          <cell r="N97">
            <v>50000</v>
          </cell>
        </row>
        <row r="99">
          <cell r="E99">
            <v>1</v>
          </cell>
          <cell r="N99">
            <v>10000</v>
          </cell>
        </row>
        <row r="102">
          <cell r="E102">
            <v>1</v>
          </cell>
        </row>
        <row r="104">
          <cell r="E104">
            <v>1</v>
          </cell>
        </row>
        <row r="108">
          <cell r="E108">
            <v>7</v>
          </cell>
          <cell r="N108">
            <v>700</v>
          </cell>
        </row>
        <row r="110">
          <cell r="E110">
            <v>57</v>
          </cell>
          <cell r="N110">
            <v>1500</v>
          </cell>
        </row>
        <row r="112">
          <cell r="E112">
            <v>15</v>
          </cell>
          <cell r="N112">
            <v>2600</v>
          </cell>
        </row>
        <row r="115">
          <cell r="E115">
            <v>1</v>
          </cell>
          <cell r="N115">
            <v>2397.2350000000001</v>
          </cell>
        </row>
        <row r="117">
          <cell r="E117">
            <v>132</v>
          </cell>
          <cell r="N117">
            <v>1700</v>
          </cell>
        </row>
        <row r="120">
          <cell r="E120">
            <v>4</v>
          </cell>
          <cell r="N120">
            <v>3500</v>
          </cell>
        </row>
        <row r="123">
          <cell r="E123">
            <v>20</v>
          </cell>
          <cell r="N123">
            <v>2500</v>
          </cell>
        </row>
        <row r="126">
          <cell r="E126">
            <v>10</v>
          </cell>
          <cell r="N126">
            <v>6000</v>
          </cell>
        </row>
        <row r="128">
          <cell r="E128">
            <v>16</v>
          </cell>
          <cell r="N128">
            <v>57000</v>
          </cell>
        </row>
        <row r="131">
          <cell r="E131">
            <v>18</v>
          </cell>
          <cell r="N131">
            <v>7000</v>
          </cell>
        </row>
        <row r="134">
          <cell r="E134">
            <v>267</v>
          </cell>
          <cell r="N134">
            <v>40.804000000000002</v>
          </cell>
        </row>
        <row r="136">
          <cell r="E136">
            <v>132</v>
          </cell>
          <cell r="N136">
            <v>100</v>
          </cell>
        </row>
        <row r="138">
          <cell r="E138">
            <v>12</v>
          </cell>
          <cell r="N138">
            <v>1632.16</v>
          </cell>
        </row>
        <row r="140">
          <cell r="E140">
            <v>12</v>
          </cell>
          <cell r="N140">
            <v>1938.19</v>
          </cell>
        </row>
        <row r="143">
          <cell r="E143">
            <v>18.75</v>
          </cell>
          <cell r="N143">
            <v>3500</v>
          </cell>
        </row>
        <row r="145">
          <cell r="E145">
            <v>3000</v>
          </cell>
          <cell r="N145">
            <v>25</v>
          </cell>
        </row>
        <row r="147">
          <cell r="E147">
            <v>74</v>
          </cell>
          <cell r="N147">
            <v>3500</v>
          </cell>
        </row>
        <row r="157">
          <cell r="E157">
            <v>14</v>
          </cell>
          <cell r="N157">
            <v>500</v>
          </cell>
        </row>
        <row r="164">
          <cell r="E164">
            <v>1</v>
          </cell>
          <cell r="N164">
            <v>4500</v>
          </cell>
        </row>
        <row r="166">
          <cell r="E166">
            <v>1751</v>
          </cell>
          <cell r="N166">
            <v>75</v>
          </cell>
        </row>
        <row r="180">
          <cell r="E180">
            <v>11</v>
          </cell>
          <cell r="N180">
            <v>2000</v>
          </cell>
        </row>
        <row r="182">
          <cell r="E182">
            <v>1</v>
          </cell>
          <cell r="N182">
            <v>10000</v>
          </cell>
        </row>
        <row r="184">
          <cell r="E184">
            <v>100</v>
          </cell>
          <cell r="N184">
            <v>250</v>
          </cell>
        </row>
        <row r="186">
          <cell r="E186">
            <v>1</v>
          </cell>
          <cell r="N186">
            <v>380</v>
          </cell>
        </row>
        <row r="188">
          <cell r="E188">
            <v>1</v>
          </cell>
          <cell r="N188">
            <v>25000</v>
          </cell>
        </row>
        <row r="190">
          <cell r="E190">
            <v>1</v>
          </cell>
          <cell r="N190">
            <v>10000</v>
          </cell>
        </row>
        <row r="192">
          <cell r="E192">
            <v>1</v>
          </cell>
          <cell r="N192">
            <v>15000</v>
          </cell>
        </row>
        <row r="194">
          <cell r="E194">
            <v>1</v>
          </cell>
          <cell r="N194">
            <v>8000</v>
          </cell>
        </row>
        <row r="196">
          <cell r="E196">
            <v>1</v>
          </cell>
          <cell r="N196">
            <v>700</v>
          </cell>
        </row>
        <row r="198">
          <cell r="E198">
            <v>615</v>
          </cell>
          <cell r="N198">
            <v>120</v>
          </cell>
        </row>
        <row r="203">
          <cell r="E203">
            <v>3</v>
          </cell>
          <cell r="N203">
            <v>1500</v>
          </cell>
        </row>
        <row r="205">
          <cell r="E205">
            <v>20</v>
          </cell>
          <cell r="N205">
            <v>1500</v>
          </cell>
        </row>
        <row r="207">
          <cell r="E207">
            <v>30</v>
          </cell>
          <cell r="N207">
            <v>500</v>
          </cell>
        </row>
        <row r="209">
          <cell r="E209">
            <v>75</v>
          </cell>
          <cell r="N209">
            <v>400</v>
          </cell>
        </row>
        <row r="212">
          <cell r="E212">
            <v>1</v>
          </cell>
          <cell r="N212">
            <v>860</v>
          </cell>
        </row>
        <row r="214">
          <cell r="E214">
            <v>1</v>
          </cell>
          <cell r="N214">
            <v>1500</v>
          </cell>
        </row>
        <row r="216">
          <cell r="E216">
            <v>1</v>
          </cell>
          <cell r="N216">
            <v>45</v>
          </cell>
        </row>
        <row r="218">
          <cell r="E218">
            <v>1</v>
          </cell>
          <cell r="N218">
            <v>25</v>
          </cell>
        </row>
        <row r="220">
          <cell r="E220">
            <v>1</v>
          </cell>
          <cell r="N220">
            <v>10000</v>
          </cell>
        </row>
        <row r="222">
          <cell r="E222">
            <v>1</v>
          </cell>
          <cell r="N222">
            <v>1632.16</v>
          </cell>
        </row>
        <row r="224">
          <cell r="E224">
            <v>1</v>
          </cell>
          <cell r="N224">
            <v>1938.19</v>
          </cell>
        </row>
        <row r="226">
          <cell r="E226">
            <v>1</v>
          </cell>
          <cell r="N226">
            <v>1530.15</v>
          </cell>
        </row>
        <row r="228">
          <cell r="E228">
            <v>1</v>
          </cell>
          <cell r="N228">
            <v>400</v>
          </cell>
        </row>
        <row r="232">
          <cell r="E232">
            <v>1620</v>
          </cell>
          <cell r="N232">
            <v>100</v>
          </cell>
        </row>
        <row r="234">
          <cell r="E234">
            <v>1</v>
          </cell>
          <cell r="N234">
            <v>75</v>
          </cell>
        </row>
        <row r="236">
          <cell r="E236">
            <v>3557.8249999999998</v>
          </cell>
          <cell r="N236">
            <v>250</v>
          </cell>
        </row>
        <row r="258">
          <cell r="E258">
            <v>45.75</v>
          </cell>
          <cell r="N258">
            <v>330</v>
          </cell>
        </row>
        <row r="260">
          <cell r="E260">
            <v>1</v>
          </cell>
          <cell r="N260">
            <v>1500</v>
          </cell>
        </row>
        <row r="262">
          <cell r="E262">
            <v>1</v>
          </cell>
          <cell r="N262">
            <v>100</v>
          </cell>
        </row>
        <row r="264">
          <cell r="E264">
            <v>3900</v>
          </cell>
          <cell r="N264">
            <v>25</v>
          </cell>
        </row>
        <row r="266">
          <cell r="E266">
            <v>1</v>
          </cell>
        </row>
        <row r="268">
          <cell r="E268">
            <v>100</v>
          </cell>
          <cell r="N268">
            <v>125</v>
          </cell>
        </row>
        <row r="271">
          <cell r="E271">
            <v>1</v>
          </cell>
          <cell r="N271">
            <v>110</v>
          </cell>
        </row>
        <row r="273">
          <cell r="E273">
            <v>1</v>
          </cell>
          <cell r="N273">
            <v>75</v>
          </cell>
        </row>
        <row r="275">
          <cell r="E275">
            <v>1</v>
          </cell>
          <cell r="N275">
            <v>160</v>
          </cell>
        </row>
        <row r="277">
          <cell r="E277">
            <v>1</v>
          </cell>
          <cell r="N277">
            <v>180</v>
          </cell>
        </row>
        <row r="279">
          <cell r="E279">
            <v>1</v>
          </cell>
        </row>
        <row r="283">
          <cell r="E283">
            <v>5374</v>
          </cell>
          <cell r="N283">
            <v>20</v>
          </cell>
        </row>
        <row r="285">
          <cell r="E285">
            <v>5432.8200000000006</v>
          </cell>
          <cell r="N285">
            <v>140</v>
          </cell>
        </row>
        <row r="306">
          <cell r="E306">
            <v>76</v>
          </cell>
          <cell r="N306">
            <v>130</v>
          </cell>
        </row>
        <row r="308">
          <cell r="E308">
            <v>144</v>
          </cell>
          <cell r="N308">
            <v>170</v>
          </cell>
        </row>
        <row r="310">
          <cell r="E310">
            <v>232</v>
          </cell>
          <cell r="N310">
            <v>160</v>
          </cell>
        </row>
        <row r="317">
          <cell r="E317">
            <v>150</v>
          </cell>
          <cell r="N317">
            <v>180</v>
          </cell>
        </row>
        <row r="319">
          <cell r="E319">
            <v>854</v>
          </cell>
          <cell r="N319">
            <v>230</v>
          </cell>
        </row>
        <row r="321">
          <cell r="E321">
            <v>210</v>
          </cell>
          <cell r="N321">
            <v>180</v>
          </cell>
        </row>
        <row r="323">
          <cell r="E323">
            <v>60</v>
          </cell>
          <cell r="N323">
            <v>130</v>
          </cell>
        </row>
        <row r="325">
          <cell r="E325">
            <v>90</v>
          </cell>
          <cell r="N325">
            <v>150</v>
          </cell>
        </row>
        <row r="327">
          <cell r="E327">
            <v>150</v>
          </cell>
          <cell r="N327">
            <v>45</v>
          </cell>
        </row>
        <row r="329">
          <cell r="E329">
            <v>30</v>
          </cell>
          <cell r="N329">
            <v>150</v>
          </cell>
        </row>
        <row r="331">
          <cell r="E331">
            <v>10</v>
          </cell>
          <cell r="N331">
            <v>3000</v>
          </cell>
        </row>
        <row r="333">
          <cell r="E333">
            <v>75</v>
          </cell>
          <cell r="N333">
            <v>170</v>
          </cell>
        </row>
        <row r="336">
          <cell r="E336">
            <v>1</v>
          </cell>
          <cell r="N336">
            <v>23</v>
          </cell>
        </row>
        <row r="338">
          <cell r="E338">
            <v>1</v>
          </cell>
          <cell r="N338">
            <v>85</v>
          </cell>
        </row>
        <row r="340">
          <cell r="E340">
            <v>1</v>
          </cell>
          <cell r="N340">
            <v>137.71350000000001</v>
          </cell>
        </row>
        <row r="344">
          <cell r="E344">
            <v>277.99</v>
          </cell>
          <cell r="N344">
            <v>420</v>
          </cell>
        </row>
        <row r="346">
          <cell r="E346">
            <v>260</v>
          </cell>
          <cell r="N346">
            <v>460</v>
          </cell>
        </row>
        <row r="348">
          <cell r="E348">
            <v>78.87</v>
          </cell>
          <cell r="N348">
            <v>90</v>
          </cell>
        </row>
        <row r="351">
          <cell r="E351">
            <v>1838.68</v>
          </cell>
          <cell r="N351">
            <v>250</v>
          </cell>
        </row>
        <row r="358">
          <cell r="E358">
            <v>854.41</v>
          </cell>
          <cell r="N358">
            <v>70</v>
          </cell>
        </row>
        <row r="364">
          <cell r="E364">
            <v>253</v>
          </cell>
          <cell r="N364">
            <v>295.82900000000001</v>
          </cell>
        </row>
        <row r="366">
          <cell r="E366">
            <v>250</v>
          </cell>
          <cell r="N366">
            <v>95</v>
          </cell>
        </row>
        <row r="368">
          <cell r="E368">
            <v>1287.5239999999999</v>
          </cell>
          <cell r="N368">
            <v>210</v>
          </cell>
        </row>
        <row r="375">
          <cell r="E375">
            <v>1</v>
          </cell>
          <cell r="N375">
            <v>30.603000000000002</v>
          </cell>
        </row>
        <row r="377">
          <cell r="E377">
            <v>100</v>
          </cell>
          <cell r="N377">
            <v>50</v>
          </cell>
        </row>
        <row r="379">
          <cell r="E379">
            <v>100</v>
          </cell>
          <cell r="N379">
            <v>105</v>
          </cell>
        </row>
        <row r="382">
          <cell r="E382">
            <v>1</v>
          </cell>
          <cell r="N382">
            <v>290.7285</v>
          </cell>
        </row>
        <row r="384">
          <cell r="E384">
            <v>1</v>
          </cell>
          <cell r="N384">
            <v>71.406999999999996</v>
          </cell>
        </row>
        <row r="386">
          <cell r="E386">
            <v>1</v>
          </cell>
          <cell r="N386">
            <v>255.02500000000001</v>
          </cell>
        </row>
        <row r="389">
          <cell r="E389">
            <v>7231</v>
          </cell>
          <cell r="N389">
            <v>140</v>
          </cell>
        </row>
        <row r="401">
          <cell r="E401">
            <v>312</v>
          </cell>
          <cell r="N401">
            <v>160</v>
          </cell>
        </row>
        <row r="404">
          <cell r="E404">
            <v>269</v>
          </cell>
          <cell r="N404">
            <v>140</v>
          </cell>
        </row>
        <row r="407">
          <cell r="E407">
            <v>893</v>
          </cell>
          <cell r="N407">
            <v>180</v>
          </cell>
        </row>
        <row r="412">
          <cell r="E412">
            <v>150</v>
          </cell>
          <cell r="N412">
            <v>300</v>
          </cell>
        </row>
        <row r="415">
          <cell r="E415">
            <v>200</v>
          </cell>
          <cell r="N415">
            <v>180</v>
          </cell>
        </row>
        <row r="418">
          <cell r="E418">
            <v>250</v>
          </cell>
          <cell r="N418">
            <v>300</v>
          </cell>
        </row>
        <row r="421">
          <cell r="E421">
            <v>1</v>
          </cell>
          <cell r="N421">
            <v>50000</v>
          </cell>
        </row>
        <row r="425">
          <cell r="E425">
            <v>1</v>
          </cell>
          <cell r="N425">
            <v>60</v>
          </cell>
        </row>
        <row r="427">
          <cell r="E427">
            <v>0</v>
          </cell>
          <cell r="N427">
            <v>25.5</v>
          </cell>
        </row>
        <row r="429">
          <cell r="E429">
            <v>1</v>
          </cell>
          <cell r="N429">
            <v>55</v>
          </cell>
        </row>
        <row r="431">
          <cell r="E431">
            <v>1</v>
          </cell>
          <cell r="N431">
            <v>60</v>
          </cell>
        </row>
        <row r="433">
          <cell r="E433">
            <v>1</v>
          </cell>
          <cell r="N433">
            <v>70</v>
          </cell>
        </row>
        <row r="435">
          <cell r="E435">
            <v>1</v>
          </cell>
          <cell r="N435">
            <v>100</v>
          </cell>
        </row>
        <row r="437">
          <cell r="E437">
            <v>1</v>
          </cell>
          <cell r="N437">
            <v>60</v>
          </cell>
        </row>
        <row r="439">
          <cell r="E439">
            <v>1</v>
          </cell>
          <cell r="N439">
            <v>50</v>
          </cell>
        </row>
        <row r="441">
          <cell r="E441">
            <v>1</v>
          </cell>
          <cell r="N441">
            <v>0</v>
          </cell>
        </row>
        <row r="443">
          <cell r="E443">
            <v>1</v>
          </cell>
          <cell r="N443">
            <v>50</v>
          </cell>
        </row>
        <row r="445">
          <cell r="E445">
            <v>1</v>
          </cell>
          <cell r="N445">
            <v>50</v>
          </cell>
        </row>
        <row r="447">
          <cell r="E447">
            <v>1</v>
          </cell>
          <cell r="N447">
            <v>25</v>
          </cell>
        </row>
        <row r="449">
          <cell r="E449">
            <v>1</v>
          </cell>
          <cell r="N449">
            <v>55</v>
          </cell>
        </row>
        <row r="451">
          <cell r="E451">
            <v>1</v>
          </cell>
          <cell r="N451">
            <v>40000</v>
          </cell>
        </row>
        <row r="454">
          <cell r="E454">
            <v>1</v>
          </cell>
          <cell r="N454">
            <v>35</v>
          </cell>
        </row>
        <row r="456">
          <cell r="E456">
            <v>1</v>
          </cell>
          <cell r="N456">
            <v>50</v>
          </cell>
        </row>
        <row r="458">
          <cell r="E458">
            <v>1</v>
          </cell>
          <cell r="N458">
            <v>50</v>
          </cell>
        </row>
        <row r="460">
          <cell r="E460">
            <v>1</v>
          </cell>
          <cell r="N460">
            <v>50</v>
          </cell>
        </row>
        <row r="462">
          <cell r="E462">
            <v>1</v>
          </cell>
          <cell r="N462">
            <v>5000</v>
          </cell>
        </row>
        <row r="465">
          <cell r="E465">
            <v>1</v>
          </cell>
          <cell r="N465">
            <v>1200000</v>
          </cell>
        </row>
        <row r="468">
          <cell r="E468">
            <v>1</v>
          </cell>
          <cell r="N468">
            <v>4100000</v>
          </cell>
        </row>
        <row r="471">
          <cell r="E471">
            <v>1</v>
          </cell>
          <cell r="N471">
            <v>4950000</v>
          </cell>
        </row>
        <row r="474">
          <cell r="E474">
            <v>1</v>
          </cell>
          <cell r="N474">
            <v>1500000</v>
          </cell>
        </row>
        <row r="479">
          <cell r="E479">
            <v>1</v>
          </cell>
          <cell r="N479">
            <v>140000</v>
          </cell>
        </row>
        <row r="482">
          <cell r="E482">
            <v>11</v>
          </cell>
          <cell r="N482">
            <v>6700</v>
          </cell>
        </row>
        <row r="484">
          <cell r="E484">
            <v>96</v>
          </cell>
          <cell r="N484">
            <v>3500</v>
          </cell>
        </row>
        <row r="486">
          <cell r="E486">
            <v>2</v>
          </cell>
          <cell r="N486">
            <v>3000</v>
          </cell>
        </row>
        <row r="488">
          <cell r="E488">
            <v>4</v>
          </cell>
          <cell r="N488">
            <v>5000</v>
          </cell>
        </row>
        <row r="490">
          <cell r="E490">
            <v>12</v>
          </cell>
          <cell r="N490">
            <v>2500</v>
          </cell>
        </row>
        <row r="496">
          <cell r="E496">
            <v>1</v>
          </cell>
          <cell r="N496">
            <v>20000</v>
          </cell>
        </row>
        <row r="498">
          <cell r="E498">
            <v>1</v>
          </cell>
          <cell r="N498">
            <v>30000</v>
          </cell>
        </row>
        <row r="500">
          <cell r="E500">
            <v>1</v>
          </cell>
          <cell r="N500">
            <v>110000</v>
          </cell>
        </row>
        <row r="503">
          <cell r="E503">
            <v>7500</v>
          </cell>
          <cell r="N503">
            <v>70</v>
          </cell>
        </row>
        <row r="505">
          <cell r="E505">
            <v>738</v>
          </cell>
          <cell r="N505">
            <v>170</v>
          </cell>
        </row>
        <row r="507">
          <cell r="E507">
            <v>400</v>
          </cell>
          <cell r="N507">
            <v>170</v>
          </cell>
        </row>
        <row r="509">
          <cell r="E509">
            <v>1</v>
          </cell>
          <cell r="N509">
            <v>60000</v>
          </cell>
        </row>
        <row r="512">
          <cell r="E512">
            <v>1</v>
          </cell>
          <cell r="N512">
            <v>55000</v>
          </cell>
        </row>
        <row r="515">
          <cell r="E515">
            <v>1</v>
          </cell>
          <cell r="N515">
            <v>35000</v>
          </cell>
        </row>
        <row r="517">
          <cell r="E517">
            <v>1</v>
          </cell>
          <cell r="N517">
            <v>170000</v>
          </cell>
        </row>
        <row r="520">
          <cell r="E520">
            <v>1</v>
          </cell>
          <cell r="N520">
            <v>15000</v>
          </cell>
        </row>
        <row r="523">
          <cell r="E523">
            <v>1</v>
          </cell>
          <cell r="N523">
            <v>280000</v>
          </cell>
        </row>
        <row r="525">
          <cell r="E525">
            <v>1</v>
          </cell>
          <cell r="N525">
            <v>150000</v>
          </cell>
        </row>
        <row r="527">
          <cell r="E527">
            <v>1</v>
          </cell>
          <cell r="N527">
            <v>180000</v>
          </cell>
        </row>
        <row r="529">
          <cell r="E529">
            <v>1</v>
          </cell>
          <cell r="N529">
            <v>80000</v>
          </cell>
        </row>
        <row r="531">
          <cell r="E531">
            <v>1</v>
          </cell>
          <cell r="N531">
            <v>30000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TR1"/>
      <sheetName val="TR2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2D50-D6BC-450E-8AF0-ECD0F65E8362}">
  <sheetPr>
    <pageSetUpPr fitToPage="1"/>
  </sheetPr>
  <dimension ref="A1:O114"/>
  <sheetViews>
    <sheetView tabSelected="1" view="pageBreakPreview" topLeftCell="A9" zoomScaleNormal="100" zoomScaleSheetLayoutView="100" workbookViewId="0">
      <selection activeCell="K7" sqref="K7"/>
    </sheetView>
  </sheetViews>
  <sheetFormatPr baseColWidth="10" defaultColWidth="10.85546875" defaultRowHeight="12.75" customHeight="1" x14ac:dyDescent="0.2"/>
  <cols>
    <col min="1" max="1" width="4" style="7" customWidth="1"/>
    <col min="2" max="2" width="7.5703125" style="19" customWidth="1"/>
    <col min="3" max="3" width="47.7109375" style="7" customWidth="1"/>
    <col min="4" max="4" width="6.42578125" style="7" customWidth="1"/>
    <col min="5" max="5" width="10.7109375" style="20" customWidth="1"/>
    <col min="6" max="6" width="11.7109375" style="7" bestFit="1" customWidth="1"/>
    <col min="7" max="7" width="18.140625" style="7" customWidth="1"/>
    <col min="8" max="8" width="4.140625" style="7" customWidth="1"/>
    <col min="9" max="12" width="10.85546875" style="7"/>
    <col min="13" max="13" width="12.28515625" style="7" customWidth="1"/>
    <col min="14" max="14" width="60.85546875" style="7" customWidth="1"/>
    <col min="15" max="16384" width="10.85546875" style="7"/>
  </cols>
  <sheetData>
    <row r="1" spans="1:15" ht="18" customHeight="1" x14ac:dyDescent="0.2">
      <c r="B1" s="6"/>
      <c r="C1" s="6"/>
      <c r="D1" s="6"/>
      <c r="E1" s="6"/>
      <c r="F1" s="6"/>
      <c r="G1" s="6"/>
    </row>
    <row r="2" spans="1:15" s="3" customFormat="1" ht="51" customHeight="1" x14ac:dyDescent="0.2">
      <c r="B2" s="30" t="s">
        <v>23</v>
      </c>
      <c r="C2" s="30"/>
      <c r="D2" s="30"/>
      <c r="E2" s="30"/>
      <c r="F2" s="30"/>
      <c r="G2" s="30"/>
    </row>
    <row r="3" spans="1:15" s="3" customFormat="1" ht="18" customHeight="1" x14ac:dyDescent="0.2">
      <c r="B3" s="31"/>
      <c r="C3" s="31"/>
      <c r="D3" s="31"/>
      <c r="E3" s="31"/>
      <c r="F3" s="31"/>
      <c r="G3" s="31"/>
    </row>
    <row r="4" spans="1:15" ht="21.6" customHeight="1" x14ac:dyDescent="0.2">
      <c r="B4" s="48" t="s">
        <v>13</v>
      </c>
      <c r="C4" s="48" t="s">
        <v>14</v>
      </c>
      <c r="D4" s="101" t="s">
        <v>15</v>
      </c>
      <c r="E4" s="102"/>
      <c r="F4" s="103"/>
      <c r="G4" s="49">
        <v>46028</v>
      </c>
    </row>
    <row r="5" spans="1:15" ht="15.6" customHeight="1" x14ac:dyDescent="0.2">
      <c r="B5" s="34"/>
      <c r="C5" s="34"/>
      <c r="D5" s="34"/>
      <c r="E5" s="34"/>
      <c r="F5" s="34"/>
      <c r="G5" s="34"/>
    </row>
    <row r="6" spans="1:15" ht="22.2" customHeight="1" x14ac:dyDescent="0.2">
      <c r="B6" s="32" t="s">
        <v>81</v>
      </c>
      <c r="C6" s="32"/>
      <c r="D6" s="33" t="s">
        <v>82</v>
      </c>
      <c r="E6" s="33"/>
      <c r="F6" s="33"/>
      <c r="G6" s="33"/>
    </row>
    <row r="7" spans="1:15" s="3" customFormat="1" ht="14.4" thickBot="1" x14ac:dyDescent="0.25">
      <c r="B7" s="35"/>
      <c r="C7" s="35"/>
      <c r="D7" s="35"/>
      <c r="E7" s="35"/>
      <c r="F7" s="35"/>
      <c r="G7" s="35"/>
    </row>
    <row r="8" spans="1:15" s="4" customFormat="1" ht="26.4" customHeight="1" thickBot="1" x14ac:dyDescent="0.25">
      <c r="B8" s="38" t="s">
        <v>80</v>
      </c>
      <c r="C8" s="36"/>
      <c r="D8" s="36"/>
      <c r="E8" s="36"/>
      <c r="F8" s="36"/>
      <c r="G8" s="37"/>
    </row>
    <row r="9" spans="1:15" s="12" customFormat="1" ht="34.200000000000003" customHeight="1" x14ac:dyDescent="0.2">
      <c r="B9" s="47" t="s">
        <v>4</v>
      </c>
      <c r="C9" s="8" t="s">
        <v>3</v>
      </c>
      <c r="D9" s="9" t="s">
        <v>2</v>
      </c>
      <c r="E9" s="10" t="s">
        <v>8</v>
      </c>
      <c r="F9" s="9" t="s">
        <v>1</v>
      </c>
      <c r="G9" s="11" t="s">
        <v>6</v>
      </c>
    </row>
    <row r="10" spans="1:15" s="3" customFormat="1" ht="19.2" customHeight="1" x14ac:dyDescent="0.2">
      <c r="A10" s="42"/>
      <c r="B10" s="45"/>
      <c r="C10" s="40"/>
      <c r="D10" s="40"/>
      <c r="E10" s="40"/>
      <c r="F10" s="40"/>
      <c r="G10" s="44"/>
    </row>
    <row r="11" spans="1:15" s="3" customFormat="1" ht="21.6" customHeight="1" x14ac:dyDescent="0.2">
      <c r="A11" s="42"/>
      <c r="B11" s="46" t="s">
        <v>0</v>
      </c>
      <c r="C11" s="39"/>
      <c r="D11" s="39"/>
      <c r="E11" s="39"/>
      <c r="F11" s="39"/>
      <c r="G11" s="43"/>
      <c r="M11" s="5"/>
      <c r="N11" s="5"/>
      <c r="O11" s="13"/>
    </row>
    <row r="12" spans="1:15" s="3" customFormat="1" ht="15" customHeight="1" x14ac:dyDescent="0.2">
      <c r="B12" s="50" t="s">
        <v>10</v>
      </c>
      <c r="C12" s="65" t="s">
        <v>24</v>
      </c>
      <c r="D12" s="66"/>
      <c r="E12" s="66"/>
      <c r="F12" s="66"/>
      <c r="G12" s="67"/>
    </row>
    <row r="13" spans="1:15" s="3" customFormat="1" ht="15" customHeight="1" x14ac:dyDescent="0.2">
      <c r="B13" s="55" t="s">
        <v>26</v>
      </c>
      <c r="C13" s="56" t="s">
        <v>25</v>
      </c>
      <c r="D13" s="51"/>
      <c r="E13" s="52"/>
      <c r="F13" s="53"/>
      <c r="G13" s="54"/>
      <c r="J13" s="91"/>
    </row>
    <row r="14" spans="1:15" s="3" customFormat="1" ht="15" customHeight="1" x14ac:dyDescent="0.2">
      <c r="B14" s="55"/>
      <c r="C14" s="57" t="s">
        <v>27</v>
      </c>
      <c r="D14" s="51" t="s">
        <v>18</v>
      </c>
      <c r="E14" s="52"/>
      <c r="F14" s="53"/>
      <c r="G14" s="54">
        <f>E14*F14</f>
        <v>0</v>
      </c>
      <c r="J14" s="91"/>
      <c r="K14" s="41"/>
    </row>
    <row r="15" spans="1:15" s="3" customFormat="1" ht="15" customHeight="1" x14ac:dyDescent="0.2">
      <c r="B15" s="55"/>
      <c r="C15" s="57" t="s">
        <v>28</v>
      </c>
      <c r="D15" s="51" t="s">
        <v>18</v>
      </c>
      <c r="E15" s="52"/>
      <c r="F15" s="53"/>
      <c r="G15" s="54">
        <f t="shared" ref="G15" si="0">E15*F15</f>
        <v>0</v>
      </c>
    </row>
    <row r="16" spans="1:15" s="3" customFormat="1" ht="15" customHeight="1" x14ac:dyDescent="0.2">
      <c r="B16" s="55" t="s">
        <v>29</v>
      </c>
      <c r="C16" s="56" t="s">
        <v>20</v>
      </c>
      <c r="D16" s="51" t="s">
        <v>18</v>
      </c>
      <c r="E16" s="52"/>
      <c r="F16" s="53"/>
      <c r="G16" s="54">
        <f>E16*F16</f>
        <v>0</v>
      </c>
    </row>
    <row r="17" spans="2:7" s="3" customFormat="1" ht="15" customHeight="1" x14ac:dyDescent="0.2">
      <c r="B17" s="55" t="s">
        <v>30</v>
      </c>
      <c r="C17" s="56" t="s">
        <v>33</v>
      </c>
      <c r="D17" s="51" t="s">
        <v>18</v>
      </c>
      <c r="E17" s="52"/>
      <c r="F17" s="53"/>
      <c r="G17" s="54">
        <f t="shared" ref="G17:G19" si="1">E17*F17</f>
        <v>0</v>
      </c>
    </row>
    <row r="18" spans="2:7" s="3" customFormat="1" ht="15" customHeight="1" x14ac:dyDescent="0.2">
      <c r="B18" s="55" t="s">
        <v>31</v>
      </c>
      <c r="C18" s="56" t="s">
        <v>34</v>
      </c>
      <c r="D18" s="51" t="s">
        <v>18</v>
      </c>
      <c r="E18" s="52"/>
      <c r="F18" s="53"/>
      <c r="G18" s="54">
        <f t="shared" si="1"/>
        <v>0</v>
      </c>
    </row>
    <row r="19" spans="2:7" s="3" customFormat="1" ht="15" customHeight="1" x14ac:dyDescent="0.2">
      <c r="B19" s="55" t="s">
        <v>32</v>
      </c>
      <c r="C19" s="56" t="s">
        <v>35</v>
      </c>
      <c r="D19" s="51" t="s">
        <v>17</v>
      </c>
      <c r="E19" s="52"/>
      <c r="F19" s="53"/>
      <c r="G19" s="54">
        <f t="shared" si="1"/>
        <v>0</v>
      </c>
    </row>
    <row r="20" spans="2:7" s="3" customFormat="1" ht="15" customHeight="1" x14ac:dyDescent="0.2">
      <c r="B20" s="55" t="s">
        <v>36</v>
      </c>
      <c r="C20" s="56" t="s">
        <v>19</v>
      </c>
      <c r="D20" s="51" t="s">
        <v>18</v>
      </c>
      <c r="E20" s="52"/>
      <c r="F20" s="53"/>
      <c r="G20" s="54">
        <f t="shared" ref="G20" si="2">E20*F20</f>
        <v>0</v>
      </c>
    </row>
    <row r="21" spans="2:7" s="3" customFormat="1" ht="15" customHeight="1" x14ac:dyDescent="0.2">
      <c r="B21" s="55"/>
      <c r="C21" s="58" t="s">
        <v>66</v>
      </c>
      <c r="D21" s="51"/>
      <c r="E21" s="52"/>
      <c r="F21" s="53"/>
      <c r="G21" s="59">
        <f>SUM(G14:G20)</f>
        <v>0</v>
      </c>
    </row>
    <row r="22" spans="2:7" s="3" customFormat="1" ht="15" customHeight="1" x14ac:dyDescent="0.2">
      <c r="B22" s="86"/>
      <c r="C22" s="87"/>
      <c r="D22" s="87"/>
      <c r="E22" s="87"/>
      <c r="F22" s="87"/>
      <c r="G22" s="88"/>
    </row>
    <row r="23" spans="2:7" s="3" customFormat="1" ht="15" customHeight="1" x14ac:dyDescent="0.2">
      <c r="B23" s="50" t="s">
        <v>37</v>
      </c>
      <c r="C23" s="65" t="s">
        <v>38</v>
      </c>
      <c r="D23" s="66"/>
      <c r="E23" s="66"/>
      <c r="F23" s="66"/>
      <c r="G23" s="67"/>
    </row>
    <row r="24" spans="2:7" s="3" customFormat="1" ht="15" customHeight="1" x14ac:dyDescent="0.2">
      <c r="B24" s="55" t="s">
        <v>39</v>
      </c>
      <c r="C24" s="56" t="s">
        <v>40</v>
      </c>
      <c r="D24" s="51"/>
      <c r="E24" s="52"/>
      <c r="F24" s="53"/>
      <c r="G24" s="54" t="s">
        <v>12</v>
      </c>
    </row>
    <row r="25" spans="2:7" s="3" customFormat="1" ht="15" customHeight="1" x14ac:dyDescent="0.2">
      <c r="B25" s="55" t="s">
        <v>41</v>
      </c>
      <c r="C25" s="56" t="s">
        <v>45</v>
      </c>
      <c r="D25" s="51" t="s">
        <v>16</v>
      </c>
      <c r="E25" s="52"/>
      <c r="F25" s="53"/>
      <c r="G25" s="54">
        <f t="shared" ref="G25:G28" si="3">E25*F25</f>
        <v>0</v>
      </c>
    </row>
    <row r="26" spans="2:7" s="3" customFormat="1" ht="16.95" customHeight="1" x14ac:dyDescent="0.2">
      <c r="B26" s="55" t="s">
        <v>42</v>
      </c>
      <c r="C26" s="56" t="s">
        <v>46</v>
      </c>
      <c r="D26" s="51" t="s">
        <v>7</v>
      </c>
      <c r="E26" s="52"/>
      <c r="F26" s="53"/>
      <c r="G26" s="54">
        <f t="shared" si="3"/>
        <v>0</v>
      </c>
    </row>
    <row r="27" spans="2:7" s="3" customFormat="1" ht="15" customHeight="1" x14ac:dyDescent="0.2">
      <c r="B27" s="55" t="s">
        <v>43</v>
      </c>
      <c r="C27" s="56" t="s">
        <v>47</v>
      </c>
      <c r="D27" s="51" t="s">
        <v>5</v>
      </c>
      <c r="E27" s="52"/>
      <c r="F27" s="53"/>
      <c r="G27" s="54">
        <f t="shared" si="3"/>
        <v>0</v>
      </c>
    </row>
    <row r="28" spans="2:7" s="3" customFormat="1" ht="15" customHeight="1" x14ac:dyDescent="0.2">
      <c r="B28" s="55" t="s">
        <v>44</v>
      </c>
      <c r="C28" s="56" t="s">
        <v>48</v>
      </c>
      <c r="D28" s="51" t="s">
        <v>16</v>
      </c>
      <c r="E28" s="52"/>
      <c r="F28" s="53"/>
      <c r="G28" s="54">
        <f t="shared" si="3"/>
        <v>0</v>
      </c>
    </row>
    <row r="29" spans="2:7" s="3" customFormat="1" ht="15" customHeight="1" x14ac:dyDescent="0.2">
      <c r="B29" s="55"/>
      <c r="C29" s="58" t="s">
        <v>67</v>
      </c>
      <c r="D29" s="51"/>
      <c r="E29" s="52"/>
      <c r="F29" s="53"/>
      <c r="G29" s="59">
        <f>SUM(G24:G28)</f>
        <v>0</v>
      </c>
    </row>
    <row r="30" spans="2:7" s="3" customFormat="1" ht="15" customHeight="1" x14ac:dyDescent="0.2">
      <c r="B30" s="86"/>
      <c r="C30" s="87"/>
      <c r="D30" s="87"/>
      <c r="E30" s="87"/>
      <c r="F30" s="87"/>
      <c r="G30" s="88"/>
    </row>
    <row r="31" spans="2:7" s="3" customFormat="1" ht="15" customHeight="1" x14ac:dyDescent="0.2">
      <c r="B31" s="50" t="s">
        <v>11</v>
      </c>
      <c r="C31" s="65" t="s">
        <v>49</v>
      </c>
      <c r="D31" s="66"/>
      <c r="E31" s="66"/>
      <c r="F31" s="66"/>
      <c r="G31" s="67"/>
    </row>
    <row r="32" spans="2:7" s="3" customFormat="1" ht="15" customHeight="1" x14ac:dyDescent="0.2">
      <c r="B32" s="55" t="s">
        <v>50</v>
      </c>
      <c r="C32" s="56" t="s">
        <v>54</v>
      </c>
      <c r="D32" s="51" t="s">
        <v>5</v>
      </c>
      <c r="E32" s="52"/>
      <c r="F32" s="53"/>
      <c r="G32" s="54">
        <f>E32*F32</f>
        <v>0</v>
      </c>
    </row>
    <row r="33" spans="2:7" s="3" customFormat="1" ht="15" customHeight="1" x14ac:dyDescent="0.2">
      <c r="B33" s="55" t="s">
        <v>51</v>
      </c>
      <c r="C33" s="56" t="s">
        <v>55</v>
      </c>
      <c r="D33" s="51" t="s">
        <v>18</v>
      </c>
      <c r="E33" s="52"/>
      <c r="F33" s="53"/>
      <c r="G33" s="54">
        <f t="shared" ref="G33:G35" si="4">E33*F33</f>
        <v>0</v>
      </c>
    </row>
    <row r="34" spans="2:7" s="3" customFormat="1" ht="15" customHeight="1" x14ac:dyDescent="0.2">
      <c r="B34" s="55" t="s">
        <v>52</v>
      </c>
      <c r="C34" s="56" t="s">
        <v>56</v>
      </c>
      <c r="D34" s="51" t="s">
        <v>17</v>
      </c>
      <c r="E34" s="52"/>
      <c r="F34" s="53"/>
      <c r="G34" s="54">
        <f t="shared" si="4"/>
        <v>0</v>
      </c>
    </row>
    <row r="35" spans="2:7" s="3" customFormat="1" ht="15" customHeight="1" x14ac:dyDescent="0.2">
      <c r="B35" s="55" t="s">
        <v>53</v>
      </c>
      <c r="C35" s="56" t="s">
        <v>57</v>
      </c>
      <c r="D35" s="51" t="s">
        <v>17</v>
      </c>
      <c r="E35" s="52"/>
      <c r="F35" s="53"/>
      <c r="G35" s="54">
        <f t="shared" si="4"/>
        <v>0</v>
      </c>
    </row>
    <row r="36" spans="2:7" s="3" customFormat="1" ht="15" customHeight="1" x14ac:dyDescent="0.2">
      <c r="B36" s="55" t="s">
        <v>71</v>
      </c>
      <c r="C36" s="56" t="s">
        <v>70</v>
      </c>
      <c r="D36" s="51" t="s">
        <v>17</v>
      </c>
      <c r="E36" s="52"/>
      <c r="F36" s="53"/>
      <c r="G36" s="54">
        <f t="shared" ref="G36" si="5">E36*F36</f>
        <v>0</v>
      </c>
    </row>
    <row r="37" spans="2:7" s="3" customFormat="1" ht="15" customHeight="1" x14ac:dyDescent="0.2">
      <c r="B37" s="60" t="s">
        <v>72</v>
      </c>
      <c r="C37" s="57" t="s">
        <v>73</v>
      </c>
      <c r="D37" s="61" t="s">
        <v>17</v>
      </c>
      <c r="E37" s="62"/>
      <c r="F37" s="63"/>
      <c r="G37" s="64" t="s">
        <v>74</v>
      </c>
    </row>
    <row r="38" spans="2:7" s="3" customFormat="1" ht="15" customHeight="1" x14ac:dyDescent="0.2">
      <c r="B38" s="60" t="s">
        <v>75</v>
      </c>
      <c r="C38" s="57" t="s">
        <v>73</v>
      </c>
      <c r="D38" s="61" t="s">
        <v>17</v>
      </c>
      <c r="E38" s="62"/>
      <c r="F38" s="63"/>
      <c r="G38" s="64" t="s">
        <v>74</v>
      </c>
    </row>
    <row r="39" spans="2:7" s="3" customFormat="1" ht="15" customHeight="1" x14ac:dyDescent="0.2">
      <c r="B39" s="55"/>
      <c r="C39" s="58" t="s">
        <v>68</v>
      </c>
      <c r="D39" s="51"/>
      <c r="E39" s="52"/>
      <c r="F39" s="53"/>
      <c r="G39" s="59">
        <f>SUM(G32:G36)</f>
        <v>0</v>
      </c>
    </row>
    <row r="40" spans="2:7" s="3" customFormat="1" ht="15" customHeight="1" x14ac:dyDescent="0.2">
      <c r="B40" s="86"/>
      <c r="C40" s="87"/>
      <c r="D40" s="87"/>
      <c r="E40" s="87"/>
      <c r="F40" s="87"/>
      <c r="G40" s="88"/>
    </row>
    <row r="41" spans="2:7" s="3" customFormat="1" ht="15" customHeight="1" x14ac:dyDescent="0.2">
      <c r="B41" s="50" t="s">
        <v>65</v>
      </c>
      <c r="C41" s="65" t="s">
        <v>58</v>
      </c>
      <c r="D41" s="66"/>
      <c r="E41" s="66"/>
      <c r="F41" s="66"/>
      <c r="G41" s="67"/>
    </row>
    <row r="42" spans="2:7" s="3" customFormat="1" ht="15" customHeight="1" x14ac:dyDescent="0.2">
      <c r="B42" s="55" t="s">
        <v>59</v>
      </c>
      <c r="C42" s="56" t="s">
        <v>62</v>
      </c>
      <c r="D42" s="51" t="s">
        <v>5</v>
      </c>
      <c r="E42" s="52"/>
      <c r="F42" s="53"/>
      <c r="G42" s="54">
        <f>E42*F42</f>
        <v>0</v>
      </c>
    </row>
    <row r="43" spans="2:7" s="3" customFormat="1" ht="15" customHeight="1" x14ac:dyDescent="0.2">
      <c r="B43" s="55" t="s">
        <v>60</v>
      </c>
      <c r="C43" s="56" t="s">
        <v>64</v>
      </c>
      <c r="D43" s="51" t="s">
        <v>5</v>
      </c>
      <c r="E43" s="52"/>
      <c r="F43" s="53"/>
      <c r="G43" s="54">
        <f>E43*F43</f>
        <v>0</v>
      </c>
    </row>
    <row r="44" spans="2:7" s="3" customFormat="1" ht="15" customHeight="1" x14ac:dyDescent="0.2">
      <c r="B44" s="55" t="s">
        <v>61</v>
      </c>
      <c r="C44" s="56" t="s">
        <v>21</v>
      </c>
      <c r="D44" s="51" t="s">
        <v>5</v>
      </c>
      <c r="E44" s="52"/>
      <c r="F44" s="53"/>
      <c r="G44" s="54">
        <f>E44*F44</f>
        <v>0</v>
      </c>
    </row>
    <row r="45" spans="2:7" s="3" customFormat="1" ht="15" customHeight="1" x14ac:dyDescent="0.2">
      <c r="B45" s="55" t="s">
        <v>63</v>
      </c>
      <c r="C45" s="56" t="s">
        <v>22</v>
      </c>
      <c r="D45" s="51" t="s">
        <v>5</v>
      </c>
      <c r="E45" s="52"/>
      <c r="F45" s="53"/>
      <c r="G45" s="54">
        <f t="shared" ref="G45" si="6">E45*F45</f>
        <v>0</v>
      </c>
    </row>
    <row r="46" spans="2:7" s="3" customFormat="1" ht="15.6" customHeight="1" x14ac:dyDescent="0.2">
      <c r="B46" s="55"/>
      <c r="C46" s="58" t="s">
        <v>69</v>
      </c>
      <c r="D46" s="51"/>
      <c r="E46" s="52"/>
      <c r="F46" s="53"/>
      <c r="G46" s="59">
        <f>SUM(G42:G45)</f>
        <v>0</v>
      </c>
    </row>
    <row r="47" spans="2:7" s="3" customFormat="1" ht="15" customHeight="1" thickBot="1" x14ac:dyDescent="0.25">
      <c r="B47" s="83"/>
      <c r="C47" s="84"/>
      <c r="D47" s="84"/>
      <c r="E47" s="84"/>
      <c r="F47" s="84"/>
      <c r="G47" s="85"/>
    </row>
    <row r="48" spans="2:7" s="4" customFormat="1" ht="15" customHeight="1" x14ac:dyDescent="0.2">
      <c r="B48" s="14"/>
      <c r="C48" s="73" t="s">
        <v>78</v>
      </c>
      <c r="D48" s="74"/>
      <c r="E48" s="75"/>
      <c r="F48" s="76"/>
      <c r="G48" s="77">
        <f>+G21+G29+G39+G46</f>
        <v>0</v>
      </c>
    </row>
    <row r="49" spans="2:15" s="4" customFormat="1" ht="15" customHeight="1" x14ac:dyDescent="0.2">
      <c r="B49" s="14"/>
      <c r="C49" s="89" t="s">
        <v>76</v>
      </c>
      <c r="D49" s="90"/>
      <c r="E49" s="90"/>
      <c r="F49" s="90"/>
      <c r="G49" s="26">
        <f>(G48*1.5)/100</f>
        <v>0</v>
      </c>
    </row>
    <row r="50" spans="2:15" s="4" customFormat="1" ht="15" customHeight="1" x14ac:dyDescent="0.2">
      <c r="B50" s="14"/>
      <c r="C50" s="78" t="s">
        <v>79</v>
      </c>
      <c r="D50" s="79"/>
      <c r="E50" s="80"/>
      <c r="F50" s="81"/>
      <c r="G50" s="82">
        <f>SUM(G48:G49)</f>
        <v>0</v>
      </c>
    </row>
    <row r="51" spans="2:15" s="4" customFormat="1" ht="15" customHeight="1" x14ac:dyDescent="0.2">
      <c r="B51" s="15"/>
      <c r="C51" s="21" t="s">
        <v>9</v>
      </c>
      <c r="D51" s="22"/>
      <c r="E51" s="23"/>
      <c r="F51" s="24"/>
      <c r="G51" s="25">
        <f>+G48*0.02</f>
        <v>0</v>
      </c>
    </row>
    <row r="52" spans="2:15" s="4" customFormat="1" ht="15" customHeight="1" thickBot="1" x14ac:dyDescent="0.25">
      <c r="B52" s="16"/>
      <c r="C52" s="68" t="s">
        <v>77</v>
      </c>
      <c r="D52" s="69"/>
      <c r="E52" s="70"/>
      <c r="F52" s="71"/>
      <c r="G52" s="72">
        <f>+G51*1.2</f>
        <v>0</v>
      </c>
    </row>
    <row r="53" spans="2:15" s="4" customFormat="1" ht="15" customHeight="1" x14ac:dyDescent="0.2">
      <c r="B53" s="28"/>
      <c r="C53" s="29"/>
      <c r="D53" s="29"/>
      <c r="E53" s="29"/>
      <c r="F53" s="29"/>
      <c r="G53" s="29"/>
      <c r="H53" s="7"/>
      <c r="M53" s="7"/>
      <c r="N53" s="7"/>
      <c r="O53" s="7"/>
    </row>
    <row r="54" spans="2:15" s="4" customFormat="1" ht="15" customHeight="1" x14ac:dyDescent="0.2">
      <c r="B54" s="17"/>
      <c r="E54" s="18"/>
      <c r="H54" s="7"/>
      <c r="M54" s="7"/>
      <c r="N54" s="7"/>
      <c r="O54" s="7"/>
    </row>
    <row r="55" spans="2:15" s="4" customFormat="1" ht="15" customHeight="1" x14ac:dyDescent="0.2">
      <c r="B55" s="92" t="s">
        <v>83</v>
      </c>
      <c r="C55" s="93"/>
      <c r="D55" s="93"/>
      <c r="E55" s="93"/>
      <c r="F55" s="93"/>
      <c r="G55" s="94"/>
      <c r="H55" s="7"/>
      <c r="M55" s="7"/>
      <c r="N55" s="7"/>
      <c r="O55" s="7"/>
    </row>
    <row r="56" spans="2:15" s="4" customFormat="1" ht="15" customHeight="1" x14ac:dyDescent="0.2">
      <c r="B56" s="95"/>
      <c r="C56" s="96"/>
      <c r="D56" s="96"/>
      <c r="E56" s="96"/>
      <c r="F56" s="96"/>
      <c r="G56" s="97"/>
      <c r="H56" s="7"/>
      <c r="M56" s="7"/>
      <c r="N56" s="7"/>
      <c r="O56" s="7"/>
    </row>
    <row r="57" spans="2:15" s="4" customFormat="1" ht="15" customHeight="1" x14ac:dyDescent="0.2">
      <c r="B57" s="95"/>
      <c r="C57" s="96"/>
      <c r="D57" s="96"/>
      <c r="E57" s="96"/>
      <c r="F57" s="96"/>
      <c r="G57" s="97"/>
      <c r="H57" s="7"/>
      <c r="M57" s="7"/>
      <c r="N57" s="7"/>
      <c r="O57" s="7"/>
    </row>
    <row r="58" spans="2:15" s="4" customFormat="1" ht="15" customHeight="1" x14ac:dyDescent="0.2">
      <c r="B58" s="95"/>
      <c r="C58" s="96"/>
      <c r="D58" s="96"/>
      <c r="E58" s="96"/>
      <c r="F58" s="96"/>
      <c r="G58" s="97"/>
      <c r="H58" s="7"/>
      <c r="M58" s="7"/>
      <c r="N58" s="7"/>
      <c r="O58" s="7"/>
    </row>
    <row r="59" spans="2:15" s="4" customFormat="1" ht="15" customHeight="1" x14ac:dyDescent="0.2">
      <c r="B59" s="95"/>
      <c r="C59" s="96"/>
      <c r="D59" s="96"/>
      <c r="E59" s="96"/>
      <c r="F59" s="96"/>
      <c r="G59" s="97"/>
      <c r="H59" s="7"/>
      <c r="M59" s="7"/>
      <c r="N59" s="7"/>
      <c r="O59" s="7"/>
    </row>
    <row r="60" spans="2:15" s="4" customFormat="1" ht="57.6" customHeight="1" x14ac:dyDescent="0.2">
      <c r="B60" s="95"/>
      <c r="C60" s="96"/>
      <c r="D60" s="96"/>
      <c r="E60" s="96"/>
      <c r="F60" s="96"/>
      <c r="G60" s="97"/>
      <c r="H60" s="7"/>
      <c r="M60" s="7"/>
      <c r="N60" s="7"/>
      <c r="O60" s="7"/>
    </row>
    <row r="61" spans="2:15" s="4" customFormat="1" ht="15" customHeight="1" x14ac:dyDescent="0.2">
      <c r="B61" s="95"/>
      <c r="C61" s="96"/>
      <c r="D61" s="96"/>
      <c r="E61" s="96"/>
      <c r="F61" s="96"/>
      <c r="G61" s="97"/>
      <c r="H61" s="7"/>
      <c r="M61" s="7"/>
      <c r="N61" s="7"/>
      <c r="O61" s="7"/>
    </row>
    <row r="62" spans="2:15" s="4" customFormat="1" ht="15" customHeight="1" x14ac:dyDescent="0.2">
      <c r="B62" s="95"/>
      <c r="C62" s="96"/>
      <c r="D62" s="96"/>
      <c r="E62" s="96"/>
      <c r="F62" s="96"/>
      <c r="G62" s="97"/>
      <c r="H62" s="7"/>
      <c r="M62" s="7"/>
      <c r="N62" s="7"/>
      <c r="O62" s="7"/>
    </row>
    <row r="63" spans="2:15" s="4" customFormat="1" ht="15" customHeight="1" x14ac:dyDescent="0.2">
      <c r="B63" s="95"/>
      <c r="C63" s="96"/>
      <c r="D63" s="96"/>
      <c r="E63" s="96"/>
      <c r="F63" s="96"/>
      <c r="G63" s="97"/>
      <c r="H63" s="7"/>
      <c r="M63" s="7"/>
      <c r="N63" s="7"/>
      <c r="O63" s="7"/>
    </row>
    <row r="64" spans="2:15" s="4" customFormat="1" ht="15" customHeight="1" x14ac:dyDescent="0.2">
      <c r="B64" s="95"/>
      <c r="C64" s="96"/>
      <c r="D64" s="96"/>
      <c r="E64" s="96"/>
      <c r="F64" s="96"/>
      <c r="G64" s="97"/>
      <c r="H64" s="7"/>
      <c r="M64" s="7"/>
      <c r="N64" s="7"/>
      <c r="O64" s="7"/>
    </row>
    <row r="65" spans="2:15" s="4" customFormat="1" ht="15" customHeight="1" x14ac:dyDescent="0.2">
      <c r="B65" s="95"/>
      <c r="C65" s="96"/>
      <c r="D65" s="96"/>
      <c r="E65" s="96"/>
      <c r="F65" s="96"/>
      <c r="G65" s="97"/>
      <c r="H65" s="7"/>
      <c r="M65" s="7"/>
      <c r="N65" s="7"/>
      <c r="O65" s="7"/>
    </row>
    <row r="66" spans="2:15" s="4" customFormat="1" ht="15" customHeight="1" x14ac:dyDescent="0.2">
      <c r="B66" s="95"/>
      <c r="C66" s="96"/>
      <c r="D66" s="96"/>
      <c r="E66" s="96"/>
      <c r="F66" s="96"/>
      <c r="G66" s="97"/>
      <c r="H66" s="7"/>
      <c r="M66" s="7"/>
      <c r="N66" s="7"/>
      <c r="O66" s="7"/>
    </row>
    <row r="67" spans="2:15" s="4" customFormat="1" ht="15" customHeight="1" x14ac:dyDescent="0.2">
      <c r="B67" s="95"/>
      <c r="C67" s="96"/>
      <c r="D67" s="96"/>
      <c r="E67" s="96"/>
      <c r="F67" s="96"/>
      <c r="G67" s="97"/>
      <c r="H67" s="7"/>
      <c r="M67" s="7"/>
      <c r="N67" s="7"/>
      <c r="O67" s="7"/>
    </row>
    <row r="68" spans="2:15" s="4" customFormat="1" ht="15" customHeight="1" x14ac:dyDescent="0.2">
      <c r="B68" s="95"/>
      <c r="C68" s="96"/>
      <c r="D68" s="96"/>
      <c r="E68" s="96"/>
      <c r="F68" s="96"/>
      <c r="G68" s="97"/>
      <c r="H68" s="7"/>
      <c r="M68" s="7"/>
      <c r="N68" s="7"/>
      <c r="O68" s="7"/>
    </row>
    <row r="69" spans="2:15" s="1" customFormat="1" ht="15" customHeight="1" x14ac:dyDescent="0.2">
      <c r="B69" s="95"/>
      <c r="C69" s="96"/>
      <c r="D69" s="96"/>
      <c r="E69" s="96"/>
      <c r="F69" s="96"/>
      <c r="G69" s="97"/>
      <c r="H69" s="7"/>
      <c r="M69" s="7"/>
      <c r="N69" s="7"/>
      <c r="O69" s="7"/>
    </row>
    <row r="70" spans="2:15" s="2" customFormat="1" ht="15" customHeight="1" x14ac:dyDescent="0.2">
      <c r="B70" s="95"/>
      <c r="C70" s="96"/>
      <c r="D70" s="96"/>
      <c r="E70" s="96"/>
      <c r="F70" s="96"/>
      <c r="G70" s="97"/>
      <c r="H70" s="7"/>
      <c r="M70" s="7"/>
      <c r="N70" s="7"/>
      <c r="O70" s="7"/>
    </row>
    <row r="71" spans="2:15" s="1" customFormat="1" ht="15" customHeight="1" x14ac:dyDescent="0.2">
      <c r="B71" s="95"/>
      <c r="C71" s="96"/>
      <c r="D71" s="96"/>
      <c r="E71" s="96"/>
      <c r="F71" s="96"/>
      <c r="G71" s="97"/>
      <c r="H71" s="7"/>
      <c r="M71" s="7"/>
      <c r="N71" s="7"/>
      <c r="O71" s="7"/>
    </row>
    <row r="72" spans="2:15" s="4" customFormat="1" ht="15" customHeight="1" x14ac:dyDescent="0.2">
      <c r="B72" s="98"/>
      <c r="C72" s="99"/>
      <c r="D72" s="99"/>
      <c r="E72" s="99"/>
      <c r="F72" s="99"/>
      <c r="G72" s="100"/>
      <c r="H72" s="7"/>
      <c r="M72" s="7"/>
      <c r="N72" s="7"/>
      <c r="O72" s="7"/>
    </row>
    <row r="73" spans="2:15" s="4" customFormat="1" ht="15" customHeight="1" x14ac:dyDescent="0.2">
      <c r="B73" s="27"/>
      <c r="C73" s="27"/>
      <c r="D73" s="27"/>
      <c r="E73" s="27"/>
      <c r="F73" s="27"/>
      <c r="G73" s="27"/>
      <c r="H73" s="7"/>
      <c r="M73" s="7"/>
      <c r="N73" s="7"/>
      <c r="O73" s="7"/>
    </row>
    <row r="74" spans="2:15" s="4" customFormat="1" ht="15" customHeight="1" x14ac:dyDescent="0.2">
      <c r="B74" s="27"/>
      <c r="C74" s="27"/>
      <c r="D74" s="27"/>
      <c r="E74" s="27"/>
      <c r="F74" s="27"/>
      <c r="G74" s="27"/>
      <c r="H74" s="7"/>
      <c r="M74" s="7"/>
      <c r="N74" s="7"/>
      <c r="O74" s="7"/>
    </row>
    <row r="75" spans="2:15" s="4" customFormat="1" ht="15" customHeight="1" x14ac:dyDescent="0.2">
      <c r="B75" s="27"/>
      <c r="C75" s="27"/>
      <c r="D75" s="27"/>
      <c r="E75" s="27"/>
      <c r="F75" s="27"/>
      <c r="G75" s="27"/>
      <c r="H75" s="7"/>
      <c r="M75" s="7"/>
      <c r="N75" s="7"/>
      <c r="O75" s="7"/>
    </row>
    <row r="76" spans="2:15" s="4" customFormat="1" ht="15" customHeight="1" x14ac:dyDescent="0.2">
      <c r="B76" s="27"/>
      <c r="C76" s="27"/>
      <c r="D76" s="27"/>
      <c r="E76" s="27"/>
      <c r="F76" s="27"/>
      <c r="G76" s="27"/>
      <c r="H76" s="7"/>
      <c r="M76" s="7"/>
      <c r="N76" s="7"/>
      <c r="O76" s="7"/>
    </row>
    <row r="77" spans="2:15" s="4" customFormat="1" ht="15" customHeight="1" x14ac:dyDescent="0.2">
      <c r="B77" s="27"/>
      <c r="C77" s="27"/>
      <c r="D77" s="27"/>
      <c r="E77" s="27"/>
      <c r="F77" s="27"/>
      <c r="G77" s="27"/>
      <c r="H77" s="7"/>
      <c r="M77" s="7"/>
      <c r="N77" s="7"/>
      <c r="O77" s="7"/>
    </row>
    <row r="78" spans="2:15" s="4" customFormat="1" ht="15" customHeight="1" x14ac:dyDescent="0.2">
      <c r="B78" s="27"/>
      <c r="C78" s="27"/>
      <c r="D78" s="27"/>
      <c r="E78" s="27"/>
      <c r="F78" s="27"/>
      <c r="G78" s="27"/>
      <c r="H78" s="7"/>
      <c r="M78" s="7"/>
      <c r="N78" s="7"/>
      <c r="O78" s="7"/>
    </row>
    <row r="79" spans="2:15" s="4" customFormat="1" ht="15" customHeight="1" x14ac:dyDescent="0.2">
      <c r="B79" s="27"/>
      <c r="C79" s="27"/>
      <c r="D79" s="27"/>
      <c r="E79" s="27"/>
      <c r="F79" s="27"/>
      <c r="G79" s="27"/>
      <c r="H79" s="7"/>
      <c r="M79" s="7"/>
      <c r="N79" s="7"/>
      <c r="O79" s="7"/>
    </row>
    <row r="80" spans="2:15" s="4" customFormat="1" ht="15" customHeight="1" x14ac:dyDescent="0.2">
      <c r="B80" s="19"/>
      <c r="C80" s="7"/>
      <c r="D80" s="7"/>
      <c r="E80" s="20"/>
      <c r="F80" s="7"/>
      <c r="G80" s="7"/>
      <c r="H80" s="7"/>
      <c r="M80" s="7"/>
      <c r="N80" s="7"/>
      <c r="O80" s="7"/>
    </row>
    <row r="81" spans="2:15" s="4" customFormat="1" ht="15" customHeight="1" x14ac:dyDescent="0.2">
      <c r="B81" s="19"/>
      <c r="C81" s="7"/>
      <c r="D81" s="7"/>
      <c r="E81" s="20"/>
      <c r="F81" s="7"/>
      <c r="G81" s="7"/>
      <c r="H81" s="7"/>
      <c r="M81" s="7"/>
      <c r="N81" s="7"/>
      <c r="O81" s="7"/>
    </row>
    <row r="82" spans="2:15" s="4" customFormat="1" ht="15" customHeight="1" x14ac:dyDescent="0.2">
      <c r="B82" s="19"/>
      <c r="C82" s="7"/>
      <c r="D82" s="7"/>
      <c r="E82" s="20"/>
      <c r="F82" s="7"/>
      <c r="G82" s="7"/>
      <c r="H82" s="7"/>
      <c r="M82" s="7"/>
      <c r="N82" s="7"/>
      <c r="O82" s="7"/>
    </row>
    <row r="83" spans="2:15" s="4" customFormat="1" ht="15" customHeight="1" x14ac:dyDescent="0.2">
      <c r="B83" s="19"/>
      <c r="C83" s="7"/>
      <c r="D83" s="7"/>
      <c r="E83" s="20"/>
      <c r="F83" s="7"/>
      <c r="G83" s="7"/>
      <c r="H83" s="7"/>
      <c r="M83" s="7"/>
      <c r="N83" s="7"/>
      <c r="O83" s="7"/>
    </row>
    <row r="84" spans="2:15" s="4" customFormat="1" ht="15" customHeight="1" x14ac:dyDescent="0.2">
      <c r="B84" s="19"/>
      <c r="C84" s="7"/>
      <c r="D84" s="7"/>
      <c r="E84" s="20"/>
      <c r="F84" s="7"/>
      <c r="G84" s="7"/>
      <c r="H84" s="7"/>
      <c r="M84" s="7"/>
      <c r="N84" s="7"/>
      <c r="O84" s="7"/>
    </row>
    <row r="85" spans="2:15" s="4" customFormat="1" ht="15" customHeight="1" x14ac:dyDescent="0.2">
      <c r="B85" s="19"/>
      <c r="C85" s="7"/>
      <c r="D85" s="7"/>
      <c r="E85" s="20"/>
      <c r="F85" s="7"/>
      <c r="G85" s="7"/>
      <c r="H85" s="7"/>
      <c r="M85" s="7"/>
      <c r="N85" s="7"/>
      <c r="O85" s="7"/>
    </row>
    <row r="86" spans="2:15" s="4" customFormat="1" ht="15" customHeight="1" x14ac:dyDescent="0.2">
      <c r="B86" s="19"/>
      <c r="C86" s="7"/>
      <c r="D86" s="7"/>
      <c r="E86" s="20"/>
      <c r="F86" s="7"/>
      <c r="G86" s="7"/>
      <c r="H86" s="7"/>
      <c r="M86" s="7"/>
      <c r="N86" s="7"/>
      <c r="O86" s="7"/>
    </row>
    <row r="87" spans="2:15" s="4" customFormat="1" ht="15" customHeight="1" x14ac:dyDescent="0.2">
      <c r="B87" s="19"/>
      <c r="C87" s="7"/>
      <c r="D87" s="7"/>
      <c r="E87" s="20"/>
      <c r="F87" s="7"/>
      <c r="G87" s="7"/>
      <c r="H87" s="7"/>
      <c r="M87" s="7"/>
      <c r="N87" s="7"/>
      <c r="O87" s="7"/>
    </row>
    <row r="88" spans="2:15" s="4" customFormat="1" ht="15" customHeight="1" x14ac:dyDescent="0.2">
      <c r="B88" s="19"/>
      <c r="C88" s="7"/>
      <c r="D88" s="7"/>
      <c r="E88" s="20"/>
      <c r="F88" s="7"/>
      <c r="G88" s="7"/>
      <c r="H88" s="7"/>
      <c r="M88" s="7"/>
      <c r="N88" s="7"/>
      <c r="O88" s="7"/>
    </row>
    <row r="89" spans="2:15" s="4" customFormat="1" ht="29.25" customHeight="1" x14ac:dyDescent="0.2">
      <c r="B89" s="19"/>
      <c r="C89" s="7"/>
      <c r="D89" s="7"/>
      <c r="E89" s="20"/>
      <c r="F89" s="7"/>
      <c r="G89" s="7"/>
      <c r="H89" s="7"/>
      <c r="M89" s="7"/>
      <c r="N89" s="7"/>
      <c r="O89" s="7"/>
    </row>
    <row r="90" spans="2:15" ht="15" customHeight="1" x14ac:dyDescent="0.2"/>
    <row r="91" spans="2:15" ht="15" customHeight="1" x14ac:dyDescent="0.2"/>
    <row r="92" spans="2:15" ht="15" customHeight="1" x14ac:dyDescent="0.2"/>
    <row r="93" spans="2:15" ht="15" customHeight="1" x14ac:dyDescent="0.2"/>
    <row r="94" spans="2:15" ht="15" customHeight="1" x14ac:dyDescent="0.2"/>
    <row r="95" spans="2:15" ht="15" customHeight="1" x14ac:dyDescent="0.2"/>
    <row r="96" spans="2:15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</sheetData>
  <sheetProtection formatCells="0"/>
  <mergeCells count="20">
    <mergeCell ref="B22:G22"/>
    <mergeCell ref="B40:G40"/>
    <mergeCell ref="C49:F49"/>
    <mergeCell ref="D4:F4"/>
    <mergeCell ref="C31:G31"/>
    <mergeCell ref="C23:G23"/>
    <mergeCell ref="C41:G41"/>
    <mergeCell ref="B47:G47"/>
    <mergeCell ref="B30:G30"/>
    <mergeCell ref="B2:G2"/>
    <mergeCell ref="B6:C6"/>
    <mergeCell ref="D6:G6"/>
    <mergeCell ref="B3:G3"/>
    <mergeCell ref="B5:G5"/>
    <mergeCell ref="B55:G72"/>
    <mergeCell ref="C12:G12"/>
    <mergeCell ref="B53:G53"/>
    <mergeCell ref="B7:G7"/>
    <mergeCell ref="B8:G8"/>
    <mergeCell ref="B11:G11"/>
  </mergeCells>
  <phoneticPr fontId="3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5" orientation="portrait" r:id="rId1"/>
  <headerFooter scaleWithDoc="0" alignWithMargins="0">
    <oddHeader>&amp;LSCI THEIX – ZIEGLER France&amp;CConstruction d’une plateforme logistique&amp;RPhase PRO</oddHeader>
    <oddFooter>&amp;LMODUO&amp;C&amp;P/&amp;N&amp;R&amp;D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LOT A01</vt:lpstr>
      <vt:lpstr>'LOT A01'!Impression_des_titres</vt:lpstr>
      <vt:lpstr>'LOT A01'!Zone_d_impression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moduo</dc:creator>
  <cp:lastModifiedBy>Fiona BONNEZ</cp:lastModifiedBy>
  <cp:lastPrinted>2023-04-17T08:48:27Z</cp:lastPrinted>
  <dcterms:created xsi:type="dcterms:W3CDTF">2010-11-25T10:39:33Z</dcterms:created>
  <dcterms:modified xsi:type="dcterms:W3CDTF">2026-03-16T08:32:12Z</dcterms:modified>
</cp:coreProperties>
</file>