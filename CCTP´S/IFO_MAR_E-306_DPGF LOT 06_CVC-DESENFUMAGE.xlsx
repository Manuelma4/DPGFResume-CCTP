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\B_PROJETS\22_382_FONCIERE ERABLE_LILLE_FOCH\09_PRO\Rendu\PRO RENDU MODUO\PIECES ECRITES\E300-DPGF\"/>
    </mc:Choice>
  </mc:AlternateContent>
  <xr:revisionPtr revIDLastSave="0" documentId="13_ncr:1_{DD0CBDF9-8D63-429E-8A9E-87971F7AE3E8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Chauffage" sheetId="171" r:id="rId1"/>
  </sheets>
  <definedNames>
    <definedName name="_Toc210101892" localSheetId="0">Chauffage!#REF!</definedName>
    <definedName name="_Toc210101894" localSheetId="0">Chauffage!#REF!</definedName>
    <definedName name="_Toc277768144" localSheetId="0">Chauffage!#REF!</definedName>
    <definedName name="_Toc277768145" localSheetId="0">Chauffage!#REF!</definedName>
    <definedName name="_Toc277768146" localSheetId="0">Chauffage!#REF!</definedName>
    <definedName name="_Toc277768147" localSheetId="0">Chauffage!#REF!</definedName>
    <definedName name="_Toc277768148" localSheetId="0">Chauffage!#REF!</definedName>
    <definedName name="_Toc277768149" localSheetId="0">Chauffage!#REF!</definedName>
    <definedName name="_Toc277768151" localSheetId="0">Chauffage!#REF!</definedName>
    <definedName name="_Toc479498543" localSheetId="0">Chauffage!#REF!</definedName>
    <definedName name="_Toc479498544" localSheetId="0">Chauffage!#REF!</definedName>
    <definedName name="_Toc490455307" localSheetId="0">Chauffage!#REF!</definedName>
    <definedName name="_xlnm.Print_Titles" localSheetId="0">Chauffage!$1:$1</definedName>
    <definedName name="_xlnm.Print_Area" localSheetId="0">Chauffage!$A$1:$G$387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2" i="171" l="1"/>
  <c r="B379" i="171"/>
  <c r="A379" i="171"/>
  <c r="B378" i="171"/>
  <c r="A378" i="171"/>
  <c r="A375" i="171"/>
  <c r="A376" i="171"/>
  <c r="A380" i="171"/>
  <c r="A381" i="171"/>
  <c r="A382" i="171"/>
  <c r="A383" i="171"/>
  <c r="A377" i="171"/>
  <c r="B377" i="171"/>
  <c r="B376" i="171"/>
  <c r="B375" i="171"/>
  <c r="F185" i="171"/>
  <c r="F183" i="171"/>
  <c r="F181" i="171"/>
  <c r="F179" i="171"/>
  <c r="F175" i="171"/>
  <c r="F171" i="171"/>
  <c r="F15" i="171"/>
  <c r="F9" i="171" l="1"/>
  <c r="C375" i="171" s="1"/>
  <c r="F192" i="171"/>
  <c r="C379" i="171" s="1"/>
  <c r="F187" i="171"/>
  <c r="C378" i="171" s="1"/>
  <c r="F280" i="171" l="1"/>
  <c r="F242" i="171" l="1"/>
  <c r="F75" i="171"/>
  <c r="B384" i="171"/>
  <c r="F244" i="171"/>
  <c r="F364" i="171"/>
  <c r="F366" i="171"/>
  <c r="F365" i="171"/>
  <c r="F363" i="171"/>
  <c r="F107" i="171"/>
  <c r="F104" i="171"/>
  <c r="F99" i="171"/>
  <c r="F96" i="171"/>
  <c r="F91" i="171"/>
  <c r="F88" i="171"/>
  <c r="F83" i="171"/>
  <c r="F80" i="171"/>
  <c r="F70" i="171"/>
  <c r="F64" i="171"/>
  <c r="F59" i="171"/>
  <c r="F54" i="171"/>
  <c r="F49" i="171"/>
  <c r="F32" i="171"/>
  <c r="F27" i="171"/>
  <c r="F22" i="171"/>
  <c r="F43" i="171"/>
  <c r="F37" i="171"/>
  <c r="F368" i="171" l="1"/>
  <c r="F246" i="171"/>
  <c r="F351" i="171"/>
  <c r="F349" i="171"/>
  <c r="B383" i="171"/>
  <c r="F353" i="171"/>
  <c r="F355" i="171"/>
  <c r="F356" i="171"/>
  <c r="F358" i="171"/>
  <c r="F347" i="171"/>
  <c r="B386" i="171"/>
  <c r="B382" i="171"/>
  <c r="B381" i="171"/>
  <c r="B380" i="171"/>
  <c r="F339" i="171"/>
  <c r="F145" i="171"/>
  <c r="F335" i="171"/>
  <c r="F333" i="171"/>
  <c r="F311" i="171"/>
  <c r="F313" i="171"/>
  <c r="F315" i="171"/>
  <c r="F317" i="171"/>
  <c r="F321" i="171"/>
  <c r="F323" i="171"/>
  <c r="F325" i="171"/>
  <c r="F289" i="171"/>
  <c r="F291" i="171"/>
  <c r="F293" i="171"/>
  <c r="F297" i="171"/>
  <c r="F301" i="171"/>
  <c r="F303" i="171"/>
  <c r="F305" i="171"/>
  <c r="F286" i="171"/>
  <c r="F250" i="171"/>
  <c r="F268" i="171"/>
  <c r="F274" i="171"/>
  <c r="F278" i="171"/>
  <c r="F276" i="171"/>
  <c r="F260" i="171"/>
  <c r="F256" i="171"/>
  <c r="F255" i="171"/>
  <c r="F157" i="171"/>
  <c r="F161" i="171"/>
  <c r="F163" i="171"/>
  <c r="F165" i="171"/>
  <c r="F167" i="171"/>
  <c r="F153" i="171"/>
  <c r="F237" i="171"/>
  <c r="F217" i="171"/>
  <c r="F222" i="171"/>
  <c r="F227" i="171"/>
  <c r="F202" i="171"/>
  <c r="F207" i="171"/>
  <c r="F212" i="171"/>
  <c r="F197" i="171"/>
  <c r="F248" i="171"/>
  <c r="F127" i="171"/>
  <c r="F131" i="171"/>
  <c r="F121" i="171"/>
  <c r="F115" i="171"/>
  <c r="F141" i="171"/>
  <c r="F135" i="171"/>
  <c r="F341" i="171" l="1"/>
  <c r="F151" i="171"/>
  <c r="C384" i="171"/>
  <c r="F360" i="171"/>
  <c r="C383" i="171" s="1"/>
  <c r="F282" i="171"/>
  <c r="F329" i="171"/>
  <c r="F169" i="171"/>
  <c r="C377" i="171" s="1"/>
  <c r="C380" i="171" l="1"/>
  <c r="F371" i="171"/>
  <c r="C376" i="171"/>
  <c r="C381" i="171"/>
  <c r="C386" i="171" l="1"/>
  <c r="F372" i="171"/>
  <c r="F373" i="171" s="1"/>
</calcChain>
</file>

<file path=xl/sharedStrings.xml><?xml version="1.0" encoding="utf-8"?>
<sst xmlns="http://schemas.openxmlformats.org/spreadsheetml/2006/main" count="377" uniqueCount="141">
  <si>
    <t>P.U. HT</t>
  </si>
  <si>
    <t>Unité</t>
  </si>
  <si>
    <t>Désignation</t>
  </si>
  <si>
    <t>Code</t>
  </si>
  <si>
    <t>Montant HT</t>
  </si>
  <si>
    <t>ml</t>
  </si>
  <si>
    <t>U</t>
  </si>
  <si>
    <t>u</t>
  </si>
  <si>
    <t>ens</t>
  </si>
  <si>
    <t>Ens</t>
  </si>
  <si>
    <t>Raccordement électrique</t>
  </si>
  <si>
    <t>Electricité</t>
  </si>
  <si>
    <t>DESCRIPTIF DES OUVRAGES CVC</t>
  </si>
  <si>
    <t>Base de calcul</t>
  </si>
  <si>
    <t>PM</t>
  </si>
  <si>
    <t>Bilan calorifique et frigorifique</t>
  </si>
  <si>
    <t>Sous-total</t>
  </si>
  <si>
    <t>Production de chauffage/Froid</t>
  </si>
  <si>
    <t>Principe</t>
  </si>
  <si>
    <t>marque :</t>
  </si>
  <si>
    <t>type :</t>
  </si>
  <si>
    <t>Boitier de répartition</t>
  </si>
  <si>
    <t>Unités intérieures</t>
  </si>
  <si>
    <t>Gainable moyenne pression</t>
  </si>
  <si>
    <t>Bouche de reprise et soufflage des ventilo-convecteurs</t>
  </si>
  <si>
    <t xml:space="preserve">marque : </t>
  </si>
  <si>
    <t xml:space="preserve">type : </t>
  </si>
  <si>
    <t>Réseaux aerauliques</t>
  </si>
  <si>
    <t>Evacuation des condensats</t>
  </si>
  <si>
    <t>Thermostat</t>
  </si>
  <si>
    <t>Liaisons cuivre</t>
  </si>
  <si>
    <t>Electricité - Regulation</t>
  </si>
  <si>
    <t>Débit :</t>
  </si>
  <si>
    <t>Marque :</t>
  </si>
  <si>
    <t xml:space="preserve">Type : </t>
  </si>
  <si>
    <t>Raccordement électrique et asservissement</t>
  </si>
  <si>
    <t>Pièges à son</t>
  </si>
  <si>
    <t>Bouche de reprise et de soufflage</t>
  </si>
  <si>
    <t>Acoustique</t>
  </si>
  <si>
    <t>Clapet coupe feu</t>
  </si>
  <si>
    <t>Réseaux aérauliques</t>
  </si>
  <si>
    <t>Raccordement des appareils</t>
  </si>
  <si>
    <t>TVA à 20,00 %</t>
  </si>
  <si>
    <t>Télécommande</t>
  </si>
  <si>
    <t>Télécommande filaire</t>
  </si>
  <si>
    <t>Liaisons frigorifiques</t>
  </si>
  <si>
    <t>Extracteur locaux techniques</t>
  </si>
  <si>
    <t>Grille VH</t>
  </si>
  <si>
    <t>Grille VB</t>
  </si>
  <si>
    <t>pm</t>
  </si>
  <si>
    <t>Groupe extérieur à condensation à détente direct</t>
  </si>
  <si>
    <t>Hotte d'extraction</t>
  </si>
  <si>
    <t xml:space="preserve">Caisson d'extraction </t>
  </si>
  <si>
    <t>Type : Defumair</t>
  </si>
  <si>
    <t>Marque : France air ou équivalent</t>
  </si>
  <si>
    <t>Caisson de compensation</t>
  </si>
  <si>
    <t>Type : NOVATYS</t>
  </si>
  <si>
    <t>Coffret de sécurité</t>
  </si>
  <si>
    <t>Grille de compensation</t>
  </si>
  <si>
    <t>Marque : France Air ou équivalent</t>
  </si>
  <si>
    <t>Type : DFU 36 ou équivalent</t>
  </si>
  <si>
    <t>Bouches d'extraction/soufflage des locaux humides/techniques faible débit</t>
  </si>
  <si>
    <t>Bouche coupe-feu</t>
  </si>
  <si>
    <t>TOTAL H.T. En Euros OUVRAGES DE CVC</t>
  </si>
  <si>
    <t>TOTAL T.T.C. En Euros OUVRAGES DE CVC</t>
  </si>
  <si>
    <t>Unités extérieures (DRV)</t>
  </si>
  <si>
    <t>Unité extérieure Tenremonde 1, 2 et Ecurie</t>
  </si>
  <si>
    <t>Unité extérieure Vert bois 1 et 2</t>
  </si>
  <si>
    <t>Unité extérieure Arc</t>
  </si>
  <si>
    <t xml:space="preserve">Bouche de soufflage </t>
  </si>
  <si>
    <t xml:space="preserve">Bouche de reprise </t>
  </si>
  <si>
    <t xml:space="preserve">Unité extérieure </t>
  </si>
  <si>
    <t xml:space="preserve">Centrale double flux n°1 </t>
  </si>
  <si>
    <t xml:space="preserve">Centrale double flux n°2 </t>
  </si>
  <si>
    <t xml:space="preserve">Centrale double flux n°3 </t>
  </si>
  <si>
    <t>Centrale double flux n°4</t>
  </si>
  <si>
    <t>Centrale double flux n°5</t>
  </si>
  <si>
    <t>Centrale double flux n°6</t>
  </si>
  <si>
    <t>Bouche de reprise</t>
  </si>
  <si>
    <t xml:space="preserve">Boitier de commande </t>
  </si>
  <si>
    <t xml:space="preserve">Armoire de puissance et régulation </t>
  </si>
  <si>
    <t xml:space="preserve">Zone préparation </t>
  </si>
  <si>
    <t xml:space="preserve">Zone laverie </t>
  </si>
  <si>
    <t>Passerelle, cablec, etc….</t>
  </si>
  <si>
    <t>Récapitulatif</t>
  </si>
  <si>
    <t>Désenfumage parking</t>
  </si>
  <si>
    <t>Pincipes généraux</t>
  </si>
  <si>
    <t>Ventilateur 200°C/2h compris accéssoires</t>
  </si>
  <si>
    <t>Silencieux, baflles, etc….</t>
  </si>
  <si>
    <t>Coffret de relayage</t>
  </si>
  <si>
    <t>Grilles d'aménées d'air</t>
  </si>
  <si>
    <t>Essais</t>
  </si>
  <si>
    <t>Grilles d'extraction</t>
  </si>
  <si>
    <t>Boitier de répartion Maitre</t>
  </si>
  <si>
    <t>Boitier de répartion esclave</t>
  </si>
  <si>
    <t>Mise en service CTA</t>
  </si>
  <si>
    <t>Unité extérieure Foch 1/2/3</t>
  </si>
  <si>
    <t>Boitier Tenremonde 1, 2 et Ecurie</t>
  </si>
  <si>
    <t>Boitier Vert bois 1 et 2</t>
  </si>
  <si>
    <t>Boitier Foch 1/2/3</t>
  </si>
  <si>
    <t>Boitier Arc</t>
  </si>
  <si>
    <t>Divers</t>
  </si>
  <si>
    <t>Mise en service</t>
  </si>
  <si>
    <t>DOE</t>
  </si>
  <si>
    <t>Dossier DESP</t>
  </si>
  <si>
    <t>Supportage - Costièere d'appui fabriqué sur mesure</t>
  </si>
  <si>
    <t>Etudes EXE - maquette RVT - Synthèse</t>
  </si>
  <si>
    <t>Dépose des installations</t>
  </si>
  <si>
    <t>Les travaux de dépose et de consignation</t>
  </si>
  <si>
    <t>Description des ouvrages de chauffage, ventilation et climatisation</t>
  </si>
  <si>
    <t>Traitement de l'air des locaux</t>
  </si>
  <si>
    <t>Climatisation de la zone cuisine</t>
  </si>
  <si>
    <t>Unité intérieure plafonnière</t>
  </si>
  <si>
    <t>Traitement de l'air de la cuisine</t>
  </si>
  <si>
    <t>GTB Centralisée - Régulation</t>
  </si>
  <si>
    <t xml:space="preserve">Quantité </t>
  </si>
  <si>
    <t xml:space="preserve">puissance frigorifique:         </t>
  </si>
  <si>
    <t xml:space="preserve">puissance calorifique:        </t>
  </si>
  <si>
    <t xml:space="preserve">puissance calorifique:         </t>
  </si>
  <si>
    <t xml:space="preserve">puissance frigorifique:        </t>
  </si>
  <si>
    <t xml:space="preserve">puissance calorifique:       </t>
  </si>
  <si>
    <t>2.2</t>
  </si>
  <si>
    <t>2.1</t>
  </si>
  <si>
    <t>2.3</t>
  </si>
  <si>
    <t>Cassettes murales</t>
  </si>
  <si>
    <t>Régulation</t>
  </si>
  <si>
    <t>Commande centralisée</t>
  </si>
  <si>
    <t xml:space="preserve">Climatisation des locaux informatiques </t>
  </si>
  <si>
    <t>Armoire de climatisation</t>
  </si>
  <si>
    <t>2.4</t>
  </si>
  <si>
    <t>2.5</t>
  </si>
  <si>
    <t>2.6</t>
  </si>
  <si>
    <t>Convecteurs électriques</t>
  </si>
  <si>
    <t>2.7</t>
  </si>
  <si>
    <t>Centrale double flux n°9</t>
  </si>
  <si>
    <t>Gestion aéraulique des locaux</t>
  </si>
  <si>
    <t xml:space="preserve">Débit : </t>
  </si>
  <si>
    <t>2.8</t>
  </si>
  <si>
    <t>2.9</t>
  </si>
  <si>
    <t>Centrale double flux n°7 - rooftop ETT</t>
  </si>
  <si>
    <t>Centrale double flux n°8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</si>
</sst>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&quot;€&quot;_-;\-* #,##0\ &quot;€&quot;_-;_-* &quot;-&quot;??\ &quot;€&quot;_-;_-@_-"/>
  </numFmts>
  <fonts count="28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u/>
      <sz val="11"/>
      <color rgb="FF0000FF"/>
      <name val="Calibri"/>
      <family val="2"/>
      <scheme val="minor"/>
    </font>
    <font>
      <b/>
      <sz val="8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sz val="11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u/>
      <sz val="8"/>
      <color theme="10"/>
      <name val="Times New Roman"/>
      <family val="1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1">
    <xf numFmtId="0" fontId="0" fillId="0" borderId="0" applyAlignment="0">
      <alignment vertical="top" wrapText="1"/>
      <protection locked="0"/>
    </xf>
    <xf numFmtId="44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 applyAlignment="0">
      <alignment vertical="top" wrapText="1"/>
      <protection locked="0"/>
    </xf>
    <xf numFmtId="9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 applyAlignment="0">
      <alignment vertical="top" wrapText="1"/>
      <protection locked="0"/>
    </xf>
    <xf numFmtId="0" fontId="5" fillId="0" borderId="0"/>
    <xf numFmtId="0" fontId="16" fillId="0" borderId="0"/>
    <xf numFmtId="0" fontId="9" fillId="0" borderId="0"/>
    <xf numFmtId="0" fontId="4" fillId="0" borderId="0"/>
    <xf numFmtId="0" fontId="3" fillId="0" borderId="0"/>
    <xf numFmtId="0" fontId="2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11" applyNumberFormat="0" applyFont="0" applyAlignment="0" applyProtection="0"/>
    <xf numFmtId="0" fontId="2" fillId="3" borderId="11" applyNumberFormat="0" applyFont="0" applyAlignment="0" applyProtection="0"/>
    <xf numFmtId="0" fontId="2" fillId="3" borderId="11" applyNumberFormat="0" applyFont="0" applyAlignment="0" applyProtection="0"/>
    <xf numFmtId="0" fontId="2" fillId="3" borderId="11" applyNumberFormat="0" applyFont="0" applyAlignment="0" applyProtection="0"/>
    <xf numFmtId="0" fontId="1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 wrapText="1"/>
      <protection locked="0"/>
    </xf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Alignment="0">
      <alignment vertical="top" wrapText="1"/>
      <protection locked="0"/>
    </xf>
    <xf numFmtId="0" fontId="2" fillId="0" borderId="0"/>
    <xf numFmtId="0" fontId="2" fillId="0" borderId="0"/>
    <xf numFmtId="0" fontId="2" fillId="0" borderId="0"/>
    <xf numFmtId="0" fontId="11" fillId="0" borderId="0" applyAlignment="0">
      <alignment vertical="top" wrapText="1"/>
      <protection locked="0"/>
    </xf>
    <xf numFmtId="0" fontId="2" fillId="0" borderId="0"/>
    <xf numFmtId="0" fontId="2" fillId="0" borderId="0"/>
    <xf numFmtId="0" fontId="16" fillId="0" borderId="0"/>
    <xf numFmtId="9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0" fontId="1" fillId="0" borderId="0"/>
  </cellStyleXfs>
  <cellXfs count="133">
    <xf numFmtId="0" fontId="0" fillId="0" borderId="0" xfId="0" applyAlignment="1" applyProtection="1"/>
    <xf numFmtId="0" fontId="11" fillId="0" borderId="0" xfId="22" applyAlignment="1" applyProtection="1"/>
    <xf numFmtId="0" fontId="26" fillId="0" borderId="0" xfId="116" applyFont="1" applyAlignment="1" applyProtection="1">
      <alignment horizontal="justify" vertical="center"/>
    </xf>
    <xf numFmtId="0" fontId="23" fillId="0" borderId="0" xfId="0" applyFont="1" applyAlignment="1" applyProtection="1">
      <alignment horizontal="left" vertical="top"/>
    </xf>
    <xf numFmtId="0" fontId="15" fillId="0" borderId="0" xfId="0" applyFont="1" applyAlignment="1" applyProtection="1">
      <alignment horizontal="left" vertical="top"/>
    </xf>
    <xf numFmtId="0" fontId="23" fillId="0" borderId="0" xfId="0" applyFont="1" applyAlignment="1" applyProtection="1">
      <alignment horizontal="center" vertical="top"/>
    </xf>
    <xf numFmtId="0" fontId="11" fillId="0" borderId="0" xfId="0" applyFont="1" applyAlignment="1" applyProtection="1">
      <alignment horizontal="left" vertical="top"/>
    </xf>
    <xf numFmtId="0" fontId="11" fillId="0" borderId="0" xfId="0" applyFont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 wrapText="1"/>
    </xf>
    <xf numFmtId="0" fontId="22" fillId="0" borderId="0" xfId="68" applyFont="1" applyAlignment="1" applyProtection="1">
      <alignment horizontal="left" vertical="top"/>
    </xf>
    <xf numFmtId="0" fontId="24" fillId="0" borderId="0" xfId="68" applyFont="1" applyAlignment="1" applyProtection="1">
      <alignment horizontal="left" vertical="top"/>
    </xf>
    <xf numFmtId="0" fontId="11" fillId="0" borderId="0" xfId="68" applyAlignment="1" applyProtection="1">
      <alignment horizontal="left" vertical="top"/>
    </xf>
    <xf numFmtId="0" fontId="21" fillId="0" borderId="4" xfId="0" applyFont="1" applyBorder="1" applyAlignment="1" applyProtection="1">
      <alignment horizontal="left" vertical="center"/>
    </xf>
    <xf numFmtId="0" fontId="10" fillId="0" borderId="5" xfId="0" applyFont="1" applyBorder="1" applyAlignment="1" applyProtection="1">
      <alignment horizontal="left" vertical="center"/>
    </xf>
    <xf numFmtId="4" fontId="10" fillId="0" borderId="5" xfId="0" applyNumberFormat="1" applyFont="1" applyBorder="1" applyAlignment="1" applyProtection="1">
      <alignment horizontal="right" vertical="center"/>
    </xf>
    <xf numFmtId="0" fontId="25" fillId="2" borderId="6" xfId="0" applyFont="1" applyFill="1" applyBorder="1" applyAlignment="1" applyProtection="1">
      <alignment horizontal="left" vertical="center"/>
    </xf>
    <xf numFmtId="4" fontId="9" fillId="2" borderId="0" xfId="0" applyNumberFormat="1" applyFont="1" applyFill="1" applyAlignment="1" applyProtection="1">
      <alignment horizontal="right" vertical="center"/>
    </xf>
    <xf numFmtId="0" fontId="21" fillId="0" borderId="7" xfId="0" applyFont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left" vertical="center"/>
    </xf>
    <xf numFmtId="4" fontId="10" fillId="0" borderId="8" xfId="0" applyNumberFormat="1" applyFont="1" applyBorder="1" applyAlignment="1" applyProtection="1">
      <alignment horizontal="right" vertical="center"/>
    </xf>
    <xf numFmtId="0" fontId="23" fillId="0" borderId="12" xfId="0" applyFont="1" applyBorder="1" applyAlignment="1" applyProtection="1">
      <alignment horizontal="center" vertical="top"/>
    </xf>
    <xf numFmtId="0" fontId="25" fillId="0" borderId="0" xfId="0" applyFont="1" applyAlignment="1" applyProtection="1">
      <alignment horizontal="left" vertical="top"/>
    </xf>
    <xf numFmtId="44" fontId="23" fillId="0" borderId="0" xfId="148" applyFont="1" applyAlignment="1" applyProtection="1">
      <alignment horizontal="left" vertical="top"/>
    </xf>
    <xf numFmtId="4" fontId="23" fillId="0" borderId="0" xfId="0" applyNumberFormat="1" applyFont="1" applyAlignment="1" applyProtection="1">
      <alignment horizontal="left" vertical="top"/>
    </xf>
    <xf numFmtId="0" fontId="21" fillId="0" borderId="9" xfId="0" applyFont="1" applyBorder="1" applyAlignment="1" applyProtection="1">
      <alignment horizontal="right" vertical="center"/>
    </xf>
    <xf numFmtId="0" fontId="21" fillId="0" borderId="19" xfId="0" applyFont="1" applyBorder="1" applyAlignment="1" applyProtection="1">
      <alignment vertical="center"/>
    </xf>
    <xf numFmtId="44" fontId="22" fillId="0" borderId="10" xfId="148" applyFont="1" applyBorder="1" applyAlignment="1" applyProtection="1">
      <alignment horizontal="left" vertical="top"/>
    </xf>
    <xf numFmtId="44" fontId="24" fillId="0" borderId="10" xfId="148" applyFont="1" applyBorder="1" applyAlignment="1" applyProtection="1">
      <alignment horizontal="left" vertical="top"/>
    </xf>
    <xf numFmtId="0" fontId="25" fillId="0" borderId="19" xfId="0" applyFont="1" applyBorder="1" applyAlignment="1" applyProtection="1">
      <alignment vertical="center"/>
    </xf>
    <xf numFmtId="44" fontId="11" fillId="0" borderId="10" xfId="148" applyFont="1" applyBorder="1" applyAlignment="1" applyProtection="1"/>
    <xf numFmtId="0" fontId="25" fillId="0" borderId="19" xfId="0" applyFont="1" applyBorder="1" applyAlignment="1" applyProtection="1">
      <alignment vertical="center" wrapText="1"/>
    </xf>
    <xf numFmtId="0" fontId="25" fillId="0" borderId="19" xfId="150" applyFont="1" applyBorder="1" applyAlignment="1">
      <alignment horizontal="left" indent="2"/>
    </xf>
    <xf numFmtId="44" fontId="11" fillId="0" borderId="10" xfId="148" applyFont="1" applyBorder="1" applyAlignment="1" applyProtection="1">
      <alignment horizontal="right" vertical="center"/>
    </xf>
    <xf numFmtId="0" fontId="25" fillId="0" borderId="19" xfId="150" applyFont="1" applyBorder="1" applyAlignment="1" applyProtection="1">
      <alignment horizontal="left" indent="2"/>
      <protection locked="0"/>
    </xf>
    <xf numFmtId="0" fontId="27" fillId="0" borderId="19" xfId="150" applyFont="1" applyBorder="1" applyAlignment="1">
      <alignment wrapText="1"/>
    </xf>
    <xf numFmtId="0" fontId="25" fillId="0" borderId="19" xfId="150" applyFont="1" applyBorder="1" applyAlignment="1">
      <alignment horizontal="center"/>
    </xf>
    <xf numFmtId="0" fontId="21" fillId="0" borderId="19" xfId="0" applyFont="1" applyBorder="1" applyAlignment="1" applyProtection="1">
      <alignment horizontal="right" vertical="center"/>
    </xf>
    <xf numFmtId="0" fontId="25" fillId="0" borderId="19" xfId="68" applyFont="1" applyBorder="1" applyAlignment="1" applyProtection="1">
      <alignment horizontal="left" vertical="center" wrapText="1"/>
    </xf>
    <xf numFmtId="0" fontId="25" fillId="0" borderId="19" xfId="22" applyFont="1" applyBorder="1" applyAlignment="1">
      <alignment horizontal="left" indent="1"/>
      <protection locked="0"/>
    </xf>
    <xf numFmtId="0" fontId="25" fillId="0" borderId="19" xfId="22" applyFont="1" applyBorder="1" applyAlignment="1" applyProtection="1">
      <alignment horizontal="left" indent="1"/>
    </xf>
    <xf numFmtId="0" fontId="21" fillId="0" borderId="19" xfId="149" applyFont="1" applyBorder="1"/>
    <xf numFmtId="0" fontId="25" fillId="0" borderId="19" xfId="68" applyFont="1" applyBorder="1" applyAlignment="1">
      <alignment horizontal="left" vertical="center" wrapText="1"/>
      <protection locked="0"/>
    </xf>
    <xf numFmtId="9" fontId="9" fillId="2" borderId="0" xfId="23" applyFont="1" applyFill="1" applyBorder="1" applyAlignment="1" applyProtection="1">
      <alignment horizontal="right" vertical="center"/>
    </xf>
    <xf numFmtId="0" fontId="11" fillId="0" borderId="6" xfId="0" applyFont="1" applyBorder="1" applyAlignment="1" applyProtection="1">
      <alignment horizontal="center" vertical="center"/>
    </xf>
    <xf numFmtId="0" fontId="18" fillId="0" borderId="6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top"/>
    </xf>
    <xf numFmtId="0" fontId="9" fillId="0" borderId="6" xfId="0" applyFont="1" applyBorder="1" applyAlignment="1" applyProtection="1">
      <alignment horizontal="center" vertical="top"/>
    </xf>
    <xf numFmtId="0" fontId="10" fillId="0" borderId="7" xfId="0" applyFont="1" applyBorder="1" applyAlignment="1" applyProtection="1">
      <alignment horizontal="center" vertical="top"/>
    </xf>
    <xf numFmtId="44" fontId="11" fillId="0" borderId="9" xfId="148" applyFont="1" applyBorder="1" applyAlignment="1" applyProtection="1">
      <alignment horizontal="center" vertical="center" wrapText="1"/>
      <protection locked="0"/>
    </xf>
    <xf numFmtId="44" fontId="11" fillId="0" borderId="9" xfId="148" applyFont="1" applyBorder="1" applyAlignment="1" applyProtection="1">
      <alignment horizontal="center" vertical="center" wrapText="1"/>
    </xf>
    <xf numFmtId="44" fontId="11" fillId="0" borderId="9" xfId="148" applyFont="1" applyFill="1" applyBorder="1" applyAlignment="1" applyProtection="1">
      <alignment horizontal="center" vertical="center" wrapText="1"/>
      <protection locked="0"/>
    </xf>
    <xf numFmtId="44" fontId="10" fillId="0" borderId="5" xfId="148" applyFont="1" applyBorder="1" applyAlignment="1" applyProtection="1">
      <alignment horizontal="right" vertical="center"/>
    </xf>
    <xf numFmtId="44" fontId="9" fillId="2" borderId="0" xfId="148" applyFont="1" applyFill="1" applyBorder="1" applyAlignment="1" applyProtection="1">
      <alignment horizontal="right" vertical="center"/>
    </xf>
    <xf numFmtId="44" fontId="10" fillId="0" borderId="8" xfId="148" applyFont="1" applyBorder="1" applyAlignment="1" applyProtection="1">
      <alignment horizontal="right" vertical="center"/>
    </xf>
    <xf numFmtId="44" fontId="18" fillId="0" borderId="10" xfId="148" applyFont="1" applyBorder="1" applyAlignment="1" applyProtection="1">
      <alignment horizontal="right" vertical="center"/>
    </xf>
    <xf numFmtId="44" fontId="18" fillId="0" borderId="10" xfId="148" applyFont="1" applyFill="1" applyBorder="1" applyAlignment="1" applyProtection="1">
      <alignment horizontal="right" vertical="center"/>
    </xf>
    <xf numFmtId="0" fontId="23" fillId="0" borderId="14" xfId="0" applyFont="1" applyBorder="1" applyAlignment="1" applyProtection="1">
      <alignment horizontal="center" vertical="top"/>
    </xf>
    <xf numFmtId="0" fontId="23" fillId="0" borderId="15" xfId="0" applyFont="1" applyBorder="1" applyAlignment="1" applyProtection="1">
      <alignment horizontal="center" vertical="top"/>
    </xf>
    <xf numFmtId="0" fontId="21" fillId="0" borderId="0" xfId="0" applyFont="1" applyAlignment="1" applyProtection="1">
      <alignment horizontal="left" vertical="top"/>
    </xf>
    <xf numFmtId="0" fontId="21" fillId="0" borderId="8" xfId="0" applyFont="1" applyBorder="1" applyAlignment="1" applyProtection="1">
      <alignment horizontal="left" vertical="top"/>
    </xf>
    <xf numFmtId="0" fontId="21" fillId="0" borderId="6" xfId="0" applyFont="1" applyBorder="1" applyAlignment="1" applyProtection="1">
      <alignment horizontal="left" vertical="top"/>
    </xf>
    <xf numFmtId="0" fontId="18" fillId="0" borderId="0" xfId="0" applyFont="1" applyAlignment="1" applyProtection="1">
      <alignment horizontal="center" vertical="center"/>
    </xf>
    <xf numFmtId="44" fontId="11" fillId="0" borderId="10" xfId="148" applyFont="1" applyBorder="1" applyAlignment="1" applyProtection="1">
      <alignment horizontal="center" vertical="center"/>
    </xf>
    <xf numFmtId="0" fontId="25" fillId="0" borderId="21" xfId="68" applyFont="1" applyBorder="1" applyAlignment="1" applyProtection="1">
      <alignment horizontal="left" vertical="center" wrapText="1"/>
    </xf>
    <xf numFmtId="0" fontId="11" fillId="0" borderId="22" xfId="0" applyFont="1" applyBorder="1" applyAlignment="1" applyProtection="1">
      <alignment horizontal="center" vertical="center" wrapText="1"/>
    </xf>
    <xf numFmtId="44" fontId="11" fillId="0" borderId="22" xfId="148" applyFont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top"/>
    </xf>
    <xf numFmtId="0" fontId="21" fillId="0" borderId="19" xfId="150" applyFont="1" applyBorder="1" applyAlignment="1">
      <alignment horizontal="left" indent="2"/>
    </xf>
    <xf numFmtId="44" fontId="22" fillId="0" borderId="24" xfId="148" applyFont="1" applyBorder="1" applyAlignment="1" applyProtection="1">
      <alignment horizontal="left" vertical="top"/>
    </xf>
    <xf numFmtId="0" fontId="23" fillId="0" borderId="6" xfId="0" applyFont="1" applyBorder="1" applyAlignment="1" applyProtection="1">
      <alignment horizontal="center" vertical="top"/>
    </xf>
    <xf numFmtId="165" fontId="10" fillId="0" borderId="13" xfId="148" applyNumberFormat="1" applyFont="1" applyFill="1" applyBorder="1" applyAlignment="1" applyProtection="1">
      <alignment horizontal="right" vertical="center"/>
    </xf>
    <xf numFmtId="165" fontId="9" fillId="2" borderId="14" xfId="148" applyNumberFormat="1" applyFont="1" applyFill="1" applyBorder="1" applyAlignment="1" applyProtection="1">
      <alignment horizontal="right" vertical="center"/>
    </xf>
    <xf numFmtId="165" fontId="10" fillId="0" borderId="15" xfId="148" applyNumberFormat="1" applyFont="1" applyBorder="1" applyAlignment="1" applyProtection="1">
      <alignment horizontal="right" vertical="center"/>
    </xf>
    <xf numFmtId="165" fontId="23" fillId="0" borderId="0" xfId="148" applyNumberFormat="1" applyFont="1" applyAlignment="1" applyProtection="1">
      <alignment horizontal="left" vertical="top"/>
    </xf>
    <xf numFmtId="0" fontId="21" fillId="0" borderId="19" xfId="0" applyFont="1" applyBorder="1" applyAlignment="1" applyProtection="1">
      <alignment horizontal="left" vertical="center"/>
    </xf>
    <xf numFmtId="44" fontId="11" fillId="0" borderId="29" xfId="148" applyFont="1" applyBorder="1" applyAlignment="1" applyProtection="1">
      <alignment horizontal="center" vertical="center" wrapText="1"/>
    </xf>
    <xf numFmtId="0" fontId="21" fillId="0" borderId="31" xfId="149" applyFont="1" applyBorder="1"/>
    <xf numFmtId="0" fontId="11" fillId="0" borderId="32" xfId="0" applyFont="1" applyBorder="1" applyAlignment="1" applyProtection="1">
      <alignment horizontal="center" vertical="center" wrapText="1"/>
    </xf>
    <xf numFmtId="44" fontId="11" fillId="0" borderId="32" xfId="148" applyFont="1" applyBorder="1" applyAlignment="1" applyProtection="1">
      <alignment horizontal="center" vertical="center" wrapText="1"/>
      <protection locked="0"/>
    </xf>
    <xf numFmtId="44" fontId="22" fillId="0" borderId="33" xfId="148" applyFont="1" applyBorder="1" applyAlignment="1" applyProtection="1">
      <alignment horizontal="left" vertical="top"/>
    </xf>
    <xf numFmtId="0" fontId="21" fillId="0" borderId="34" xfId="0" applyFont="1" applyBorder="1" applyAlignment="1" applyProtection="1">
      <alignment vertical="center"/>
    </xf>
    <xf numFmtId="0" fontId="11" fillId="0" borderId="35" xfId="0" applyFont="1" applyBorder="1" applyAlignment="1" applyProtection="1">
      <alignment horizontal="center" vertical="center" wrapText="1"/>
    </xf>
    <xf numFmtId="44" fontId="11" fillId="0" borderId="35" xfId="148" applyFont="1" applyBorder="1" applyAlignment="1" applyProtection="1">
      <alignment horizontal="center" vertical="center" wrapText="1"/>
      <protection locked="0"/>
    </xf>
    <xf numFmtId="44" fontId="22" fillId="0" borderId="36" xfId="148" applyFont="1" applyBorder="1" applyAlignment="1" applyProtection="1">
      <alignment horizontal="left" vertical="top"/>
    </xf>
    <xf numFmtId="44" fontId="18" fillId="0" borderId="30" xfId="148" applyFont="1" applyBorder="1" applyAlignment="1" applyProtection="1">
      <alignment horizontal="right" vertical="center"/>
    </xf>
    <xf numFmtId="0" fontId="25" fillId="0" borderId="31" xfId="68" applyFont="1" applyBorder="1" applyAlignment="1" applyProtection="1">
      <alignment horizontal="left" vertical="center" wrapText="1"/>
    </xf>
    <xf numFmtId="44" fontId="11" fillId="0" borderId="33" xfId="148" applyFont="1" applyBorder="1" applyAlignment="1" applyProtection="1">
      <alignment horizontal="right" vertical="center"/>
    </xf>
    <xf numFmtId="0" fontId="18" fillId="0" borderId="9" xfId="0" applyFont="1" applyBorder="1" applyAlignment="1" applyProtection="1">
      <alignment vertical="center" wrapText="1"/>
    </xf>
    <xf numFmtId="164" fontId="18" fillId="0" borderId="9" xfId="0" applyNumberFormat="1" applyFont="1" applyBorder="1" applyAlignment="1" applyProtection="1">
      <alignment vertical="center" wrapText="1"/>
    </xf>
    <xf numFmtId="44" fontId="18" fillId="0" borderId="9" xfId="148" applyFont="1" applyBorder="1" applyAlignment="1" applyProtection="1">
      <alignment vertical="center" wrapText="1"/>
    </xf>
    <xf numFmtId="0" fontId="18" fillId="0" borderId="1" xfId="0" applyFont="1" applyBorder="1" applyAlignment="1" applyProtection="1">
      <alignment horizontal="center" vertical="center"/>
    </xf>
    <xf numFmtId="0" fontId="21" fillId="0" borderId="4" xfId="0" applyFont="1" applyBorder="1" applyAlignment="1" applyProtection="1">
      <alignment horizontal="center" vertical="top"/>
    </xf>
    <xf numFmtId="0" fontId="21" fillId="0" borderId="6" xfId="0" applyFont="1" applyBorder="1" applyAlignment="1" applyProtection="1">
      <alignment horizontal="center" vertical="top"/>
    </xf>
    <xf numFmtId="0" fontId="25" fillId="0" borderId="4" xfId="0" applyFont="1" applyBorder="1" applyAlignment="1" applyProtection="1">
      <alignment horizontal="left" vertical="center" wrapText="1"/>
    </xf>
    <xf numFmtId="0" fontId="11" fillId="0" borderId="5" xfId="0" applyFont="1" applyBorder="1" applyAlignment="1" applyProtection="1">
      <alignment horizontal="left" vertical="center" wrapText="1"/>
    </xf>
    <xf numFmtId="44" fontId="11" fillId="0" borderId="5" xfId="148" applyFont="1" applyBorder="1" applyAlignment="1" applyProtection="1">
      <alignment horizontal="left" vertical="center" wrapText="1"/>
    </xf>
    <xf numFmtId="44" fontId="11" fillId="0" borderId="25" xfId="148" applyFont="1" applyBorder="1" applyAlignment="1" applyProtection="1">
      <alignment horizontal="right" vertical="center"/>
    </xf>
    <xf numFmtId="0" fontId="21" fillId="0" borderId="19" xfId="0" applyFont="1" applyBorder="1" applyAlignment="1" applyProtection="1">
      <alignment vertical="center" wrapText="1"/>
    </xf>
    <xf numFmtId="44" fontId="18" fillId="0" borderId="10" xfId="148" applyFont="1" applyBorder="1" applyAlignment="1" applyProtection="1">
      <alignment vertical="center" wrapText="1"/>
    </xf>
    <xf numFmtId="0" fontId="21" fillId="0" borderId="19" xfId="0" applyFont="1" applyBorder="1" applyAlignment="1" applyProtection="1">
      <alignment horizontal="right" vertical="center"/>
    </xf>
    <xf numFmtId="0" fontId="21" fillId="0" borderId="9" xfId="0" applyFont="1" applyBorder="1" applyAlignment="1" applyProtection="1">
      <alignment horizontal="right" vertical="center"/>
    </xf>
    <xf numFmtId="165" fontId="23" fillId="0" borderId="6" xfId="0" applyNumberFormat="1" applyFont="1" applyBorder="1" applyAlignment="1" applyProtection="1">
      <alignment vertical="center"/>
    </xf>
    <xf numFmtId="165" fontId="23" fillId="0" borderId="0" xfId="0" applyNumberFormat="1" applyFont="1" applyAlignment="1" applyProtection="1">
      <alignment vertical="center"/>
    </xf>
    <xf numFmtId="165" fontId="23" fillId="0" borderId="20" xfId="0" applyNumberFormat="1" applyFont="1" applyBorder="1" applyAlignment="1" applyProtection="1">
      <alignment vertical="center"/>
    </xf>
    <xf numFmtId="0" fontId="21" fillId="0" borderId="1" xfId="0" applyFont="1" applyBorder="1" applyAlignment="1" applyProtection="1">
      <alignment horizontal="center" vertical="top"/>
    </xf>
    <xf numFmtId="0" fontId="21" fillId="0" borderId="2" xfId="0" applyFont="1" applyBorder="1" applyAlignment="1" applyProtection="1">
      <alignment horizontal="center" vertical="top"/>
    </xf>
    <xf numFmtId="0" fontId="21" fillId="0" borderId="3" xfId="0" applyFont="1" applyBorder="1" applyAlignment="1" applyProtection="1">
      <alignment horizontal="center" vertical="top"/>
    </xf>
    <xf numFmtId="44" fontId="23" fillId="0" borderId="7" xfId="0" applyNumberFormat="1" applyFont="1" applyBorder="1" applyAlignment="1" applyProtection="1">
      <alignment horizontal="center" vertical="top"/>
    </xf>
    <xf numFmtId="0" fontId="23" fillId="0" borderId="8" xfId="0" applyFont="1" applyBorder="1" applyAlignment="1" applyProtection="1">
      <alignment horizontal="center" vertical="top"/>
    </xf>
    <xf numFmtId="0" fontId="23" fillId="0" borderId="26" xfId="0" applyFont="1" applyBorder="1" applyAlignment="1" applyProtection="1">
      <alignment horizontal="center" vertical="top"/>
    </xf>
    <xf numFmtId="165" fontId="15" fillId="0" borderId="6" xfId="0" applyNumberFormat="1" applyFont="1" applyBorder="1" applyAlignment="1" applyProtection="1">
      <alignment horizontal="center" vertical="top"/>
    </xf>
    <xf numFmtId="165" fontId="15" fillId="0" borderId="0" xfId="0" applyNumberFormat="1" applyFont="1" applyAlignment="1" applyProtection="1">
      <alignment horizontal="center" vertical="top"/>
    </xf>
    <xf numFmtId="165" fontId="15" fillId="0" borderId="20" xfId="0" applyNumberFormat="1" applyFont="1" applyBorder="1" applyAlignment="1" applyProtection="1">
      <alignment horizontal="center" vertical="top"/>
    </xf>
    <xf numFmtId="165" fontId="23" fillId="0" borderId="4" xfId="0" applyNumberFormat="1" applyFont="1" applyBorder="1" applyAlignment="1" applyProtection="1">
      <alignment horizontal="center" vertical="top"/>
    </xf>
    <xf numFmtId="165" fontId="23" fillId="0" borderId="5" xfId="0" applyNumberFormat="1" applyFont="1" applyBorder="1" applyAlignment="1" applyProtection="1">
      <alignment horizontal="center" vertical="top"/>
    </xf>
    <xf numFmtId="165" fontId="23" fillId="0" borderId="25" xfId="0" applyNumberFormat="1" applyFont="1" applyBorder="1" applyAlignment="1" applyProtection="1">
      <alignment horizontal="center" vertical="top"/>
    </xf>
    <xf numFmtId="0" fontId="15" fillId="0" borderId="13" xfId="0" applyFont="1" applyBorder="1" applyAlignment="1" applyProtection="1">
      <alignment horizontal="center" vertical="center" wrapText="1"/>
    </xf>
    <xf numFmtId="0" fontId="15" fillId="0" borderId="15" xfId="0" applyFont="1" applyBorder="1" applyAlignment="1" applyProtection="1">
      <alignment horizontal="center" vertical="center" wrapText="1"/>
    </xf>
    <xf numFmtId="0" fontId="21" fillId="0" borderId="16" xfId="0" applyFont="1" applyBorder="1" applyAlignment="1" applyProtection="1">
      <alignment horizontal="center" vertical="center"/>
    </xf>
    <xf numFmtId="0" fontId="21" fillId="0" borderId="21" xfId="0" applyFont="1" applyBorder="1" applyAlignment="1" applyProtection="1">
      <alignment horizontal="center" vertical="center"/>
    </xf>
    <xf numFmtId="0" fontId="15" fillId="0" borderId="17" xfId="0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4" fontId="18" fillId="0" borderId="27" xfId="0" applyNumberFormat="1" applyFont="1" applyBorder="1" applyAlignment="1" applyProtection="1">
      <alignment horizontal="center" vertical="center" wrapText="1"/>
    </xf>
    <xf numFmtId="4" fontId="18" fillId="0" borderId="23" xfId="0" applyNumberFormat="1" applyFont="1" applyBorder="1" applyAlignment="1" applyProtection="1">
      <alignment horizontal="center" vertical="center" wrapText="1"/>
    </xf>
    <xf numFmtId="44" fontId="15" fillId="0" borderId="18" xfId="148" applyFont="1" applyBorder="1" applyAlignment="1" applyProtection="1">
      <alignment horizontal="center" vertical="center" wrapText="1"/>
    </xf>
    <xf numFmtId="44" fontId="15" fillId="0" borderId="24" xfId="148" applyFont="1" applyBorder="1" applyAlignment="1" applyProtection="1">
      <alignment horizontal="center" vertical="center" wrapText="1"/>
    </xf>
    <xf numFmtId="0" fontId="19" fillId="16" borderId="4" xfId="0" applyFont="1" applyFill="1" applyBorder="1" applyAlignment="1" applyProtection="1">
      <alignment horizontal="center" vertical="center" wrapText="1"/>
    </xf>
    <xf numFmtId="0" fontId="19" fillId="16" borderId="5" xfId="0" applyFont="1" applyFill="1" applyBorder="1" applyAlignment="1" applyProtection="1">
      <alignment horizontal="center" vertical="center" wrapText="1"/>
    </xf>
    <xf numFmtId="0" fontId="19" fillId="16" borderId="25" xfId="0" applyFont="1" applyFill="1" applyBorder="1" applyAlignment="1" applyProtection="1">
      <alignment horizontal="center" vertical="center" wrapText="1"/>
    </xf>
    <xf numFmtId="0" fontId="21" fillId="0" borderId="28" xfId="0" applyFont="1" applyBorder="1" applyAlignment="1" applyProtection="1">
      <alignment horizontal="right" vertical="center"/>
    </xf>
    <xf numFmtId="0" fontId="21" fillId="0" borderId="29" xfId="0" applyFont="1" applyBorder="1" applyAlignment="1" applyProtection="1">
      <alignment horizontal="right" vertical="center"/>
    </xf>
    <xf numFmtId="44" fontId="15" fillId="0" borderId="17" xfId="148" applyFont="1" applyBorder="1" applyAlignment="1" applyProtection="1">
      <alignment horizontal="center" vertical="center" wrapText="1"/>
    </xf>
    <xf numFmtId="44" fontId="15" fillId="0" borderId="22" xfId="148" applyFont="1" applyBorder="1" applyAlignment="1" applyProtection="1">
      <alignment horizontal="center" vertical="center" wrapText="1"/>
    </xf>
  </cellXfs>
  <cellStyles count="151">
    <cellStyle name="20 % - Accent1 2" xfId="75" xr:uid="{00000000-0005-0000-0000-000000000000}"/>
    <cellStyle name="20 % - Accent1 2 2" xfId="76" xr:uid="{00000000-0005-0000-0000-000001000000}"/>
    <cellStyle name="20 % - Accent1 3" xfId="77" xr:uid="{00000000-0005-0000-0000-000002000000}"/>
    <cellStyle name="20 % - Accent2 2" xfId="78" xr:uid="{00000000-0005-0000-0000-000003000000}"/>
    <cellStyle name="20 % - Accent2 2 2" xfId="79" xr:uid="{00000000-0005-0000-0000-000004000000}"/>
    <cellStyle name="20 % - Accent2 3" xfId="80" xr:uid="{00000000-0005-0000-0000-000005000000}"/>
    <cellStyle name="20 % - Accent3 2" xfId="81" xr:uid="{00000000-0005-0000-0000-000006000000}"/>
    <cellStyle name="20 % - Accent3 2 2" xfId="82" xr:uid="{00000000-0005-0000-0000-000007000000}"/>
    <cellStyle name="20 % - Accent3 3" xfId="83" xr:uid="{00000000-0005-0000-0000-000008000000}"/>
    <cellStyle name="20 % - Accent4 2" xfId="84" xr:uid="{00000000-0005-0000-0000-000009000000}"/>
    <cellStyle name="20 % - Accent4 2 2" xfId="85" xr:uid="{00000000-0005-0000-0000-00000A000000}"/>
    <cellStyle name="20 % - Accent4 3" xfId="86" xr:uid="{00000000-0005-0000-0000-00000B000000}"/>
    <cellStyle name="20 % - Accent5 2" xfId="87" xr:uid="{00000000-0005-0000-0000-00000C000000}"/>
    <cellStyle name="20 % - Accent5 2 2" xfId="88" xr:uid="{00000000-0005-0000-0000-00000D000000}"/>
    <cellStyle name="20 % - Accent5 3" xfId="89" xr:uid="{00000000-0005-0000-0000-00000E000000}"/>
    <cellStyle name="20 % - Accent6 2" xfId="90" xr:uid="{00000000-0005-0000-0000-00000F000000}"/>
    <cellStyle name="20 % - Accent6 2 2" xfId="91" xr:uid="{00000000-0005-0000-0000-000010000000}"/>
    <cellStyle name="20 % - Accent6 3" xfId="92" xr:uid="{00000000-0005-0000-0000-000011000000}"/>
    <cellStyle name="40 % - Accent1 2" xfId="93" xr:uid="{00000000-0005-0000-0000-000012000000}"/>
    <cellStyle name="40 % - Accent1 2 2" xfId="94" xr:uid="{00000000-0005-0000-0000-000013000000}"/>
    <cellStyle name="40 % - Accent1 3" xfId="95" xr:uid="{00000000-0005-0000-0000-000014000000}"/>
    <cellStyle name="40 % - Accent2 2" xfId="96" xr:uid="{00000000-0005-0000-0000-000015000000}"/>
    <cellStyle name="40 % - Accent2 2 2" xfId="97" xr:uid="{00000000-0005-0000-0000-000016000000}"/>
    <cellStyle name="40 % - Accent2 3" xfId="98" xr:uid="{00000000-0005-0000-0000-000017000000}"/>
    <cellStyle name="40 % - Accent3 2" xfId="99" xr:uid="{00000000-0005-0000-0000-000018000000}"/>
    <cellStyle name="40 % - Accent3 2 2" xfId="100" xr:uid="{00000000-0005-0000-0000-000019000000}"/>
    <cellStyle name="40 % - Accent3 3" xfId="101" xr:uid="{00000000-0005-0000-0000-00001A000000}"/>
    <cellStyle name="40 % - Accent4 2" xfId="102" xr:uid="{00000000-0005-0000-0000-00001B000000}"/>
    <cellStyle name="40 % - Accent4 2 2" xfId="103" xr:uid="{00000000-0005-0000-0000-00001C000000}"/>
    <cellStyle name="40 % - Accent4 3" xfId="104" xr:uid="{00000000-0005-0000-0000-00001D000000}"/>
    <cellStyle name="40 % - Accent5 2" xfId="105" xr:uid="{00000000-0005-0000-0000-00001E000000}"/>
    <cellStyle name="40 % - Accent5 2 2" xfId="106" xr:uid="{00000000-0005-0000-0000-00001F000000}"/>
    <cellStyle name="40 % - Accent5 3" xfId="107" xr:uid="{00000000-0005-0000-0000-000020000000}"/>
    <cellStyle name="40 % - Accent6 2" xfId="108" xr:uid="{00000000-0005-0000-0000-000021000000}"/>
    <cellStyle name="40 % - Accent6 2 2" xfId="109" xr:uid="{00000000-0005-0000-0000-000022000000}"/>
    <cellStyle name="40 % - Accent6 3" xfId="110" xr:uid="{00000000-0005-0000-0000-000023000000}"/>
    <cellStyle name="Commentaire 2" xfId="111" xr:uid="{00000000-0005-0000-0000-000024000000}"/>
    <cellStyle name="Commentaire 2 2" xfId="112" xr:uid="{00000000-0005-0000-0000-000025000000}"/>
    <cellStyle name="Commentaire 2 2 2" xfId="113" xr:uid="{00000000-0005-0000-0000-000026000000}"/>
    <cellStyle name="Commentaire 2 3" xfId="114" xr:uid="{00000000-0005-0000-0000-000027000000}"/>
    <cellStyle name="Euro" xfId="1" xr:uid="{00000000-0005-0000-0000-000028000000}"/>
    <cellStyle name="Euro 2" xfId="2" xr:uid="{00000000-0005-0000-0000-000029000000}"/>
    <cellStyle name="Lien hypertexte 2" xfId="115" xr:uid="{00000000-0005-0000-0000-00002A000000}"/>
    <cellStyle name="Lien hypertexte 3" xfId="116" xr:uid="{00000000-0005-0000-0000-00002B000000}"/>
    <cellStyle name="Milliers 2" xfId="3" xr:uid="{00000000-0005-0000-0000-00002C000000}"/>
    <cellStyle name="Milliers 2 2" xfId="28" xr:uid="{00000000-0005-0000-0000-00002D000000}"/>
    <cellStyle name="Milliers 2 2 2" xfId="117" xr:uid="{00000000-0005-0000-0000-00002E000000}"/>
    <cellStyle name="Milliers 2 3" xfId="29" xr:uid="{00000000-0005-0000-0000-00002F000000}"/>
    <cellStyle name="Monétaire" xfId="148" builtinId="4"/>
    <cellStyle name="Monétaire 2" xfId="4" xr:uid="{00000000-0005-0000-0000-000031000000}"/>
    <cellStyle name="Monétaire 3" xfId="5" xr:uid="{00000000-0005-0000-0000-000032000000}"/>
    <cellStyle name="Monétaire 3 2" xfId="30" xr:uid="{00000000-0005-0000-0000-000033000000}"/>
    <cellStyle name="Monétaire 3 2 2" xfId="118" xr:uid="{00000000-0005-0000-0000-000034000000}"/>
    <cellStyle name="Monétaire 3 3" xfId="31" xr:uid="{00000000-0005-0000-0000-000035000000}"/>
    <cellStyle name="Monétaire 4" xfId="119" xr:uid="{00000000-0005-0000-0000-000036000000}"/>
    <cellStyle name="Monétaire 4 2" xfId="120" xr:uid="{00000000-0005-0000-0000-000037000000}"/>
    <cellStyle name="Normal" xfId="0" builtinId="0"/>
    <cellStyle name="Normal 2" xfId="6" xr:uid="{00000000-0005-0000-0000-000039000000}"/>
    <cellStyle name="Normal 2 2" xfId="7" xr:uid="{00000000-0005-0000-0000-00003A000000}"/>
    <cellStyle name="Normal 2 2 2" xfId="8" xr:uid="{00000000-0005-0000-0000-00003B000000}"/>
    <cellStyle name="Normal 2 2 2 2" xfId="9" xr:uid="{00000000-0005-0000-0000-00003C000000}"/>
    <cellStyle name="Normal 2 2 2 2 2" xfId="32" xr:uid="{00000000-0005-0000-0000-00003D000000}"/>
    <cellStyle name="Normal 2 2 2 2 2 2" xfId="121" xr:uid="{00000000-0005-0000-0000-00003E000000}"/>
    <cellStyle name="Normal 2 2 2 2 3" xfId="33" xr:uid="{00000000-0005-0000-0000-00003F000000}"/>
    <cellStyle name="Normal 2 2 2 3" xfId="25" xr:uid="{00000000-0005-0000-0000-000040000000}"/>
    <cellStyle name="Normal 2 2 2 3 2" xfId="34" xr:uid="{00000000-0005-0000-0000-000041000000}"/>
    <cellStyle name="Normal 2 2 2 3 2 2" xfId="122" xr:uid="{00000000-0005-0000-0000-000042000000}"/>
    <cellStyle name="Normal 2 2 2 3 3" xfId="27" xr:uid="{00000000-0005-0000-0000-000043000000}"/>
    <cellStyle name="Normal 2 2 2 3 3 2" xfId="72" xr:uid="{00000000-0005-0000-0000-000044000000}"/>
    <cellStyle name="Normal 2 2 2 3 4" xfId="35" xr:uid="{00000000-0005-0000-0000-000045000000}"/>
    <cellStyle name="Normal 2 2 2 4" xfId="36" xr:uid="{00000000-0005-0000-0000-000046000000}"/>
    <cellStyle name="Normal 2 2 2 4 2" xfId="123" xr:uid="{00000000-0005-0000-0000-000047000000}"/>
    <cellStyle name="Normal 2 2 2 5" xfId="37" xr:uid="{00000000-0005-0000-0000-000048000000}"/>
    <cellStyle name="Normal 2 2 3" xfId="10" xr:uid="{00000000-0005-0000-0000-000049000000}"/>
    <cellStyle name="Normal 2 2 3 2" xfId="11" xr:uid="{00000000-0005-0000-0000-00004A000000}"/>
    <cellStyle name="Normal 2 2 3 2 2" xfId="38" xr:uid="{00000000-0005-0000-0000-00004B000000}"/>
    <cellStyle name="Normal 2 2 3 2 2 2" xfId="124" xr:uid="{00000000-0005-0000-0000-00004C000000}"/>
    <cellStyle name="Normal 2 2 3 2 3" xfId="39" xr:uid="{00000000-0005-0000-0000-00004D000000}"/>
    <cellStyle name="Normal 2 2 3 3" xfId="40" xr:uid="{00000000-0005-0000-0000-00004E000000}"/>
    <cellStyle name="Normal 2 2 3 3 2" xfId="125" xr:uid="{00000000-0005-0000-0000-00004F000000}"/>
    <cellStyle name="Normal 2 2 3 4" xfId="41" xr:uid="{00000000-0005-0000-0000-000050000000}"/>
    <cellStyle name="Normal 2 2 4" xfId="12" xr:uid="{00000000-0005-0000-0000-000051000000}"/>
    <cellStyle name="Normal 2 2 4 2" xfId="13" xr:uid="{00000000-0005-0000-0000-000052000000}"/>
    <cellStyle name="Normal 2 2 4 2 2" xfId="42" xr:uid="{00000000-0005-0000-0000-000053000000}"/>
    <cellStyle name="Normal 2 2 4 2 2 2" xfId="126" xr:uid="{00000000-0005-0000-0000-000054000000}"/>
    <cellStyle name="Normal 2 2 4 2 3" xfId="43" xr:uid="{00000000-0005-0000-0000-000055000000}"/>
    <cellStyle name="Normal 2 2 4 3" xfId="44" xr:uid="{00000000-0005-0000-0000-000056000000}"/>
    <cellStyle name="Normal 2 2 4 3 2" xfId="127" xr:uid="{00000000-0005-0000-0000-000057000000}"/>
    <cellStyle name="Normal 2 2 4 4" xfId="45" xr:uid="{00000000-0005-0000-0000-000058000000}"/>
    <cellStyle name="Normal 2 2 5" xfId="14" xr:uid="{00000000-0005-0000-0000-000059000000}"/>
    <cellStyle name="Normal 2 2 5 2" xfId="46" xr:uid="{00000000-0005-0000-0000-00005A000000}"/>
    <cellStyle name="Normal 2 2 5 2 2" xfId="128" xr:uid="{00000000-0005-0000-0000-00005B000000}"/>
    <cellStyle name="Normal 2 2 5 3" xfId="47" xr:uid="{00000000-0005-0000-0000-00005C000000}"/>
    <cellStyle name="Normal 2 2 6" xfId="15" xr:uid="{00000000-0005-0000-0000-00005D000000}"/>
    <cellStyle name="Normal 2 2 6 2" xfId="48" xr:uid="{00000000-0005-0000-0000-00005E000000}"/>
    <cellStyle name="Normal 2 2 6 2 2" xfId="129" xr:uid="{00000000-0005-0000-0000-00005F000000}"/>
    <cellStyle name="Normal 2 2 6 3" xfId="49" xr:uid="{00000000-0005-0000-0000-000060000000}"/>
    <cellStyle name="Normal 2 2 7" xfId="50" xr:uid="{00000000-0005-0000-0000-000061000000}"/>
    <cellStyle name="Normal 2 2 7 2" xfId="130" xr:uid="{00000000-0005-0000-0000-000062000000}"/>
    <cellStyle name="Normal 2 2 8" xfId="51" xr:uid="{00000000-0005-0000-0000-000063000000}"/>
    <cellStyle name="Normal 2 3" xfId="16" xr:uid="{00000000-0005-0000-0000-000064000000}"/>
    <cellStyle name="Normal 2 3 2" xfId="17" xr:uid="{00000000-0005-0000-0000-000065000000}"/>
    <cellStyle name="Normal 2 3 2 2" xfId="52" xr:uid="{00000000-0005-0000-0000-000066000000}"/>
    <cellStyle name="Normal 2 3 2 2 2" xfId="131" xr:uid="{00000000-0005-0000-0000-000067000000}"/>
    <cellStyle name="Normal 2 3 2 3" xfId="53" xr:uid="{00000000-0005-0000-0000-000068000000}"/>
    <cellStyle name="Normal 2 3 3" xfId="54" xr:uid="{00000000-0005-0000-0000-000069000000}"/>
    <cellStyle name="Normal 2 3 3 2" xfId="132" xr:uid="{00000000-0005-0000-0000-00006A000000}"/>
    <cellStyle name="Normal 2 3 4" xfId="55" xr:uid="{00000000-0005-0000-0000-00006B000000}"/>
    <cellStyle name="Normal 2 4" xfId="18" xr:uid="{00000000-0005-0000-0000-00006C000000}"/>
    <cellStyle name="Normal 2 4 2" xfId="19" xr:uid="{00000000-0005-0000-0000-00006D000000}"/>
    <cellStyle name="Normal 2 4 2 2" xfId="56" xr:uid="{00000000-0005-0000-0000-00006E000000}"/>
    <cellStyle name="Normal 2 4 2 2 2" xfId="133" xr:uid="{00000000-0005-0000-0000-00006F000000}"/>
    <cellStyle name="Normal 2 4 2 3" xfId="57" xr:uid="{00000000-0005-0000-0000-000070000000}"/>
    <cellStyle name="Normal 2 4 3" xfId="58" xr:uid="{00000000-0005-0000-0000-000071000000}"/>
    <cellStyle name="Normal 2 4 3 2" xfId="134" xr:uid="{00000000-0005-0000-0000-000072000000}"/>
    <cellStyle name="Normal 2 4 4" xfId="59" xr:uid="{00000000-0005-0000-0000-000073000000}"/>
    <cellStyle name="Normal 2 5" xfId="20" xr:uid="{00000000-0005-0000-0000-000074000000}"/>
    <cellStyle name="Normal 2 5 2" xfId="60" xr:uid="{00000000-0005-0000-0000-000075000000}"/>
    <cellStyle name="Normal 2 5 2 2" xfId="135" xr:uid="{00000000-0005-0000-0000-000076000000}"/>
    <cellStyle name="Normal 2 5 3" xfId="61" xr:uid="{00000000-0005-0000-0000-000077000000}"/>
    <cellStyle name="Normal 2 6" xfId="21" xr:uid="{00000000-0005-0000-0000-000078000000}"/>
    <cellStyle name="Normal 2 6 2" xfId="62" xr:uid="{00000000-0005-0000-0000-000079000000}"/>
    <cellStyle name="Normal 2 6 2 2" xfId="136" xr:uid="{00000000-0005-0000-0000-00007A000000}"/>
    <cellStyle name="Normal 2 6 3" xfId="63" xr:uid="{00000000-0005-0000-0000-00007B000000}"/>
    <cellStyle name="Normal 2 7" xfId="64" xr:uid="{00000000-0005-0000-0000-00007C000000}"/>
    <cellStyle name="Normal 2 7 2" xfId="137" xr:uid="{00000000-0005-0000-0000-00007D000000}"/>
    <cellStyle name="Normal 2 8" xfId="65" xr:uid="{00000000-0005-0000-0000-00007E000000}"/>
    <cellStyle name="Normal 2 8 2" xfId="73" xr:uid="{00000000-0005-0000-0000-00007F000000}"/>
    <cellStyle name="Normal 2 8 2 2" xfId="74" xr:uid="{00000000-0005-0000-0000-000080000000}"/>
    <cellStyle name="Normal 2 8 3" xfId="138" xr:uid="{00000000-0005-0000-0000-000081000000}"/>
    <cellStyle name="Normal 2 8 3 2 2" xfId="150" xr:uid="{00000000-0005-0000-0000-000082000000}"/>
    <cellStyle name="Normal 2 8 4 2" xfId="149" xr:uid="{00000000-0005-0000-0000-000083000000}"/>
    <cellStyle name="Normal 2 9" xfId="68" xr:uid="{00000000-0005-0000-0000-000084000000}"/>
    <cellStyle name="Normal 2 9 2" xfId="139" xr:uid="{00000000-0005-0000-0000-000085000000}"/>
    <cellStyle name="Normal 3" xfId="22" xr:uid="{00000000-0005-0000-0000-000086000000}"/>
    <cellStyle name="Normal 4" xfId="26" xr:uid="{00000000-0005-0000-0000-000087000000}"/>
    <cellStyle name="Normal 4 2" xfId="140" xr:uid="{00000000-0005-0000-0000-000088000000}"/>
    <cellStyle name="Normal 4 2 2" xfId="141" xr:uid="{00000000-0005-0000-0000-000089000000}"/>
    <cellStyle name="Normal 4 3" xfId="142" xr:uid="{00000000-0005-0000-0000-00008A000000}"/>
    <cellStyle name="Normal 5" xfId="69" xr:uid="{00000000-0005-0000-0000-00008B000000}"/>
    <cellStyle name="Normal 5 2" xfId="143" xr:uid="{00000000-0005-0000-0000-00008C000000}"/>
    <cellStyle name="Normal 5 3" xfId="144" xr:uid="{00000000-0005-0000-0000-00008D000000}"/>
    <cellStyle name="Normal 6" xfId="70" xr:uid="{00000000-0005-0000-0000-00008E000000}"/>
    <cellStyle name="Normal 6 2" xfId="145" xr:uid="{00000000-0005-0000-0000-00008F000000}"/>
    <cellStyle name="Normal 6 3" xfId="146" xr:uid="{00000000-0005-0000-0000-000090000000}"/>
    <cellStyle name="Pourcentage 2" xfId="23" xr:uid="{00000000-0005-0000-0000-000092000000}"/>
    <cellStyle name="Pourcentage 3" xfId="24" xr:uid="{00000000-0005-0000-0000-000093000000}"/>
    <cellStyle name="Pourcentage 3 2" xfId="66" xr:uid="{00000000-0005-0000-0000-000094000000}"/>
    <cellStyle name="Pourcentage 3 2 2" xfId="147" xr:uid="{00000000-0005-0000-0000-000095000000}"/>
    <cellStyle name="Pourcentage 3 3" xfId="67" xr:uid="{00000000-0005-0000-0000-000096000000}"/>
    <cellStyle name="Standard 2" xfId="71" xr:uid="{00000000-0005-0000-0000-00009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7"/>
  <sheetViews>
    <sheetView tabSelected="1" view="pageBreakPreview" topLeftCell="A2" zoomScaleNormal="100" zoomScaleSheetLayoutView="100" workbookViewId="0">
      <selection activeCell="B230" sqref="B230"/>
    </sheetView>
  </sheetViews>
  <sheetFormatPr baseColWidth="10" defaultColWidth="10.85546875" defaultRowHeight="13.8" x14ac:dyDescent="0.2"/>
  <cols>
    <col min="1" max="1" width="12.85546875" style="20" customWidth="1"/>
    <col min="2" max="2" width="71.85546875" style="21" customWidth="1"/>
    <col min="3" max="3" width="8.42578125" style="3" customWidth="1"/>
    <col min="4" max="4" width="15.42578125" style="23" customWidth="1"/>
    <col min="5" max="5" width="23.42578125" style="22" bestFit="1" customWidth="1"/>
    <col min="6" max="6" width="22" style="22" customWidth="1"/>
    <col min="7" max="7" width="31.5703125" style="3" customWidth="1"/>
    <col min="8" max="8" width="10.85546875" style="3"/>
    <col min="9" max="9" width="17.7109375" style="3" customWidth="1"/>
    <col min="10" max="16384" width="10.85546875" style="3"/>
  </cols>
  <sheetData>
    <row r="1" spans="1:10" s="4" customFormat="1" ht="13.95" customHeight="1" x14ac:dyDescent="0.2">
      <c r="A1" s="116" t="s">
        <v>3</v>
      </c>
      <c r="B1" s="118" t="s">
        <v>2</v>
      </c>
      <c r="C1" s="120" t="s">
        <v>1</v>
      </c>
      <c r="D1" s="122" t="s">
        <v>115</v>
      </c>
      <c r="E1" s="131" t="s">
        <v>0</v>
      </c>
      <c r="F1" s="124" t="s">
        <v>4</v>
      </c>
      <c r="H1" s="3"/>
      <c r="I1" s="3"/>
      <c r="J1" s="5"/>
    </row>
    <row r="2" spans="1:10" ht="14.4" thickBot="1" x14ac:dyDescent="0.25">
      <c r="A2" s="117"/>
      <c r="B2" s="119"/>
      <c r="C2" s="121"/>
      <c r="D2" s="123"/>
      <c r="E2" s="132"/>
      <c r="F2" s="125"/>
      <c r="J2" s="5"/>
    </row>
    <row r="3" spans="1:10" s="6" customFormat="1" ht="14.25" customHeight="1" thickBot="1" x14ac:dyDescent="0.25">
      <c r="A3" s="43"/>
      <c r="B3" s="93"/>
      <c r="C3" s="94"/>
      <c r="D3" s="94"/>
      <c r="E3" s="95"/>
      <c r="F3" s="96"/>
    </row>
    <row r="4" spans="1:10" s="6" customFormat="1" ht="16.2" customHeight="1" x14ac:dyDescent="0.2">
      <c r="A4" s="44"/>
      <c r="B4" s="126" t="s">
        <v>12</v>
      </c>
      <c r="C4" s="127"/>
      <c r="D4" s="127"/>
      <c r="E4" s="127"/>
      <c r="F4" s="128"/>
    </row>
    <row r="5" spans="1:10" s="6" customFormat="1" ht="16.2" customHeight="1" x14ac:dyDescent="0.2">
      <c r="A5" s="43"/>
      <c r="B5" s="97"/>
      <c r="C5" s="87"/>
      <c r="D5" s="88"/>
      <c r="E5" s="89"/>
      <c r="F5" s="98"/>
    </row>
    <row r="6" spans="1:10" s="6" customFormat="1" ht="16.2" customHeight="1" x14ac:dyDescent="0.2">
      <c r="A6" s="61" t="s">
        <v>121</v>
      </c>
      <c r="B6" s="97" t="s">
        <v>108</v>
      </c>
      <c r="C6" s="87"/>
      <c r="D6" s="88"/>
      <c r="E6" s="89"/>
      <c r="F6" s="98"/>
    </row>
    <row r="7" spans="1:10" s="6" customFormat="1" ht="16.2" customHeight="1" x14ac:dyDescent="0.2">
      <c r="A7" s="7"/>
      <c r="B7" s="97"/>
      <c r="C7" s="87"/>
      <c r="D7" s="88"/>
      <c r="E7" s="89"/>
      <c r="F7" s="98"/>
    </row>
    <row r="8" spans="1:10" s="10" customFormat="1" ht="23.25" customHeight="1" x14ac:dyDescent="0.2">
      <c r="A8" s="44"/>
      <c r="B8" s="25"/>
      <c r="C8" s="8"/>
      <c r="D8" s="8"/>
      <c r="E8" s="48"/>
      <c r="F8" s="32"/>
    </row>
    <row r="9" spans="1:10" s="9" customFormat="1" ht="14.25" customHeight="1" x14ac:dyDescent="0.2">
      <c r="A9" s="44"/>
      <c r="B9" s="99" t="s">
        <v>16</v>
      </c>
      <c r="C9" s="100"/>
      <c r="D9" s="100"/>
      <c r="E9" s="49"/>
      <c r="F9" s="54">
        <f>F15</f>
        <v>0</v>
      </c>
    </row>
    <row r="10" spans="1:10" s="9" customFormat="1" ht="14.25" customHeight="1" x14ac:dyDescent="0.2">
      <c r="A10" s="44">
        <v>2</v>
      </c>
      <c r="B10" s="74" t="s">
        <v>109</v>
      </c>
      <c r="C10" s="24"/>
      <c r="D10" s="24"/>
      <c r="E10" s="49"/>
      <c r="F10" s="54"/>
    </row>
    <row r="11" spans="1:10" s="9" customFormat="1" ht="14.25" customHeight="1" x14ac:dyDescent="0.2">
      <c r="A11" s="44"/>
      <c r="B11" s="36"/>
      <c r="C11" s="24"/>
      <c r="D11" s="24"/>
      <c r="E11" s="49"/>
      <c r="F11" s="54"/>
    </row>
    <row r="12" spans="1:10" s="9" customFormat="1" ht="18" customHeight="1" x14ac:dyDescent="0.2">
      <c r="A12" s="44" t="s">
        <v>122</v>
      </c>
      <c r="B12" s="25" t="s">
        <v>13</v>
      </c>
      <c r="C12" s="8" t="s">
        <v>14</v>
      </c>
      <c r="D12" s="8"/>
      <c r="E12" s="48"/>
      <c r="F12" s="26"/>
    </row>
    <row r="13" spans="1:10" s="10" customFormat="1" ht="23.25" customHeight="1" x14ac:dyDescent="0.2">
      <c r="A13" s="44"/>
      <c r="B13" s="25" t="s">
        <v>15</v>
      </c>
      <c r="C13" s="8" t="s">
        <v>14</v>
      </c>
      <c r="D13" s="8"/>
      <c r="E13" s="48"/>
      <c r="F13" s="27"/>
    </row>
    <row r="14" spans="1:10" s="10" customFormat="1" ht="13.8" customHeight="1" x14ac:dyDescent="0.2">
      <c r="A14" s="44"/>
      <c r="B14" s="25"/>
      <c r="C14" s="8"/>
      <c r="D14" s="8"/>
      <c r="E14" s="48"/>
      <c r="F14" s="27"/>
    </row>
    <row r="15" spans="1:10" s="10" customFormat="1" ht="23.25" customHeight="1" x14ac:dyDescent="0.2">
      <c r="A15" s="44" t="s">
        <v>121</v>
      </c>
      <c r="B15" s="25" t="s">
        <v>107</v>
      </c>
      <c r="C15" s="8" t="s">
        <v>8</v>
      </c>
      <c r="D15" s="8"/>
      <c r="E15" s="48"/>
      <c r="F15" s="32">
        <f>E15*D15</f>
        <v>0</v>
      </c>
    </row>
    <row r="16" spans="1:10" s="10" customFormat="1" ht="23.25" customHeight="1" x14ac:dyDescent="0.2">
      <c r="A16" s="44"/>
      <c r="B16" s="25"/>
      <c r="C16" s="8"/>
      <c r="D16" s="8"/>
      <c r="E16" s="48"/>
      <c r="F16" s="32"/>
    </row>
    <row r="17" spans="1:13" s="9" customFormat="1" ht="14.25" customHeight="1" x14ac:dyDescent="0.2">
      <c r="A17" s="44" t="s">
        <v>123</v>
      </c>
      <c r="B17" s="25" t="s">
        <v>17</v>
      </c>
      <c r="C17" s="8"/>
      <c r="D17" s="8"/>
      <c r="E17" s="48"/>
      <c r="F17" s="26"/>
    </row>
    <row r="18" spans="1:13" s="1" customFormat="1" ht="17.25" customHeight="1" x14ac:dyDescent="0.2">
      <c r="A18" s="44"/>
      <c r="B18" s="28" t="s">
        <v>18</v>
      </c>
      <c r="C18" s="8" t="s">
        <v>14</v>
      </c>
      <c r="D18" s="8"/>
      <c r="E18" s="48"/>
      <c r="F18" s="29"/>
    </row>
    <row r="19" spans="1:13" s="1" customFormat="1" ht="17.25" customHeight="1" x14ac:dyDescent="0.2">
      <c r="A19" s="44"/>
      <c r="B19" s="30"/>
      <c r="C19" s="8"/>
      <c r="D19" s="8"/>
      <c r="E19" s="48"/>
      <c r="F19" s="29"/>
    </row>
    <row r="20" spans="1:13" s="1" customFormat="1" ht="17.25" customHeight="1" x14ac:dyDescent="0.2">
      <c r="A20" s="44"/>
      <c r="B20" s="25" t="s">
        <v>65</v>
      </c>
      <c r="C20" s="8"/>
      <c r="D20" s="8"/>
      <c r="E20" s="48"/>
      <c r="F20" s="29"/>
    </row>
    <row r="21" spans="1:13" s="1" customFormat="1" ht="17.25" customHeight="1" x14ac:dyDescent="0.25">
      <c r="A21" s="44"/>
      <c r="B21" s="67" t="s">
        <v>66</v>
      </c>
      <c r="C21" s="8"/>
      <c r="D21" s="8"/>
      <c r="E21" s="48"/>
      <c r="F21" s="32"/>
    </row>
    <row r="22" spans="1:13" s="9" customFormat="1" ht="14.25" customHeight="1" x14ac:dyDescent="0.2">
      <c r="A22" s="44"/>
      <c r="B22" s="33" t="s">
        <v>116</v>
      </c>
      <c r="C22" s="8" t="s">
        <v>7</v>
      </c>
      <c r="D22" s="8"/>
      <c r="E22" s="48"/>
      <c r="F22" s="32">
        <f>E22*D22</f>
        <v>0</v>
      </c>
      <c r="K22" s="2"/>
      <c r="L22" s="2"/>
      <c r="M22" s="2"/>
    </row>
    <row r="23" spans="1:13" s="9" customFormat="1" ht="14.25" customHeight="1" x14ac:dyDescent="0.2">
      <c r="A23" s="44"/>
      <c r="B23" s="33" t="s">
        <v>117</v>
      </c>
      <c r="C23" s="8"/>
      <c r="D23" s="8"/>
      <c r="E23" s="48"/>
      <c r="F23" s="32"/>
      <c r="K23" s="2"/>
      <c r="L23" s="2"/>
      <c r="M23" s="2"/>
    </row>
    <row r="24" spans="1:13" s="9" customFormat="1" ht="14.25" customHeight="1" x14ac:dyDescent="0.2">
      <c r="A24" s="44"/>
      <c r="B24" s="33" t="s">
        <v>19</v>
      </c>
      <c r="C24" s="8"/>
      <c r="D24" s="8"/>
      <c r="E24" s="48"/>
      <c r="F24" s="32"/>
      <c r="K24" s="2"/>
      <c r="L24" s="2"/>
      <c r="M24" s="2"/>
    </row>
    <row r="25" spans="1:13" s="9" customFormat="1" ht="14.25" customHeight="1" x14ac:dyDescent="0.2">
      <c r="A25" s="44"/>
      <c r="B25" s="33" t="s">
        <v>20</v>
      </c>
      <c r="C25" s="8"/>
      <c r="D25" s="8"/>
      <c r="E25" s="48"/>
      <c r="F25" s="32"/>
      <c r="K25" s="2"/>
      <c r="L25" s="2"/>
      <c r="M25" s="2"/>
    </row>
    <row r="26" spans="1:13" s="9" customFormat="1" ht="14.25" customHeight="1" x14ac:dyDescent="0.2">
      <c r="A26" s="44"/>
      <c r="B26" s="31"/>
      <c r="C26" s="8"/>
      <c r="D26" s="8"/>
      <c r="E26" s="48"/>
      <c r="F26" s="32"/>
      <c r="K26" s="2"/>
      <c r="L26" s="2"/>
      <c r="M26" s="2"/>
    </row>
    <row r="27" spans="1:13" s="9" customFormat="1" ht="14.25" customHeight="1" x14ac:dyDescent="0.2">
      <c r="A27" s="44"/>
      <c r="B27" s="33" t="s">
        <v>116</v>
      </c>
      <c r="C27" s="8" t="s">
        <v>7</v>
      </c>
      <c r="D27" s="8"/>
      <c r="E27" s="48"/>
      <c r="F27" s="32">
        <f t="shared" ref="F27:F32" si="0">E27*D27</f>
        <v>0</v>
      </c>
      <c r="K27" s="2"/>
      <c r="L27" s="2"/>
      <c r="M27" s="2"/>
    </row>
    <row r="28" spans="1:13" s="9" customFormat="1" ht="14.25" customHeight="1" x14ac:dyDescent="0.2">
      <c r="A28" s="44"/>
      <c r="B28" s="33" t="s">
        <v>118</v>
      </c>
      <c r="C28" s="8"/>
      <c r="D28" s="8"/>
      <c r="E28" s="48"/>
      <c r="F28" s="32"/>
      <c r="K28" s="2"/>
      <c r="L28" s="2"/>
      <c r="M28" s="2"/>
    </row>
    <row r="29" spans="1:13" s="9" customFormat="1" ht="14.25" customHeight="1" x14ac:dyDescent="0.2">
      <c r="A29" s="44"/>
      <c r="B29" s="33" t="s">
        <v>19</v>
      </c>
      <c r="C29" s="8"/>
      <c r="D29" s="8"/>
      <c r="E29" s="48"/>
      <c r="F29" s="32"/>
      <c r="K29" s="2"/>
      <c r="L29" s="2"/>
      <c r="M29" s="2"/>
    </row>
    <row r="30" spans="1:13" s="9" customFormat="1" ht="14.25" customHeight="1" x14ac:dyDescent="0.2">
      <c r="A30" s="44"/>
      <c r="B30" s="33" t="s">
        <v>20</v>
      </c>
      <c r="C30" s="8"/>
      <c r="D30" s="8"/>
      <c r="E30" s="48"/>
      <c r="F30" s="32"/>
      <c r="K30" s="2"/>
      <c r="L30" s="2"/>
      <c r="M30" s="2"/>
    </row>
    <row r="31" spans="1:13" s="9" customFormat="1" ht="14.25" customHeight="1" x14ac:dyDescent="0.2">
      <c r="A31" s="44"/>
      <c r="B31" s="33"/>
      <c r="C31" s="8"/>
      <c r="D31" s="8"/>
      <c r="E31" s="48"/>
      <c r="F31" s="32"/>
      <c r="K31" s="2"/>
      <c r="L31" s="2"/>
      <c r="M31" s="2"/>
    </row>
    <row r="32" spans="1:13" s="9" customFormat="1" ht="14.25" customHeight="1" x14ac:dyDescent="0.2">
      <c r="A32" s="44"/>
      <c r="B32" s="33" t="s">
        <v>116</v>
      </c>
      <c r="C32" s="8" t="s">
        <v>7</v>
      </c>
      <c r="D32" s="8"/>
      <c r="E32" s="48"/>
      <c r="F32" s="32">
        <f t="shared" si="0"/>
        <v>0</v>
      </c>
      <c r="K32" s="2"/>
      <c r="L32" s="2"/>
      <c r="M32" s="2"/>
    </row>
    <row r="33" spans="1:13" s="9" customFormat="1" ht="14.25" customHeight="1" x14ac:dyDescent="0.2">
      <c r="A33" s="44"/>
      <c r="B33" s="33" t="s">
        <v>118</v>
      </c>
      <c r="C33" s="8"/>
      <c r="D33" s="8"/>
      <c r="E33" s="48"/>
      <c r="F33" s="32"/>
      <c r="K33" s="2"/>
      <c r="L33" s="2"/>
      <c r="M33" s="2"/>
    </row>
    <row r="34" spans="1:13" s="9" customFormat="1" ht="14.25" customHeight="1" x14ac:dyDescent="0.2">
      <c r="A34" s="44"/>
      <c r="B34" s="33" t="s">
        <v>19</v>
      </c>
      <c r="C34" s="8"/>
      <c r="D34" s="8"/>
      <c r="E34" s="48"/>
      <c r="F34" s="32"/>
      <c r="K34" s="2"/>
      <c r="L34" s="2"/>
      <c r="M34" s="2"/>
    </row>
    <row r="35" spans="1:13" s="9" customFormat="1" ht="14.25" customHeight="1" x14ac:dyDescent="0.2">
      <c r="A35" s="44"/>
      <c r="B35" s="33" t="s">
        <v>20</v>
      </c>
      <c r="C35" s="8"/>
      <c r="D35" s="8"/>
      <c r="E35" s="48"/>
      <c r="F35" s="32"/>
      <c r="K35" s="2"/>
      <c r="L35" s="2"/>
      <c r="M35" s="2"/>
    </row>
    <row r="36" spans="1:13" s="9" customFormat="1" ht="14.25" customHeight="1" x14ac:dyDescent="0.2">
      <c r="A36" s="44"/>
      <c r="B36" s="31"/>
      <c r="C36" s="8"/>
      <c r="D36" s="8"/>
      <c r="E36" s="48"/>
      <c r="F36" s="32"/>
      <c r="K36" s="2"/>
      <c r="L36" s="2"/>
      <c r="M36" s="2"/>
    </row>
    <row r="37" spans="1:13" s="9" customFormat="1" ht="14.25" customHeight="1" x14ac:dyDescent="0.25">
      <c r="A37" s="44"/>
      <c r="B37" s="67" t="s">
        <v>67</v>
      </c>
      <c r="C37" s="8" t="s">
        <v>6</v>
      </c>
      <c r="D37" s="8"/>
      <c r="E37" s="48"/>
      <c r="F37" s="32">
        <f>E37*D37</f>
        <v>0</v>
      </c>
      <c r="K37" s="2"/>
      <c r="L37" s="2"/>
      <c r="M37" s="2"/>
    </row>
    <row r="38" spans="1:13" s="9" customFormat="1" ht="14.25" customHeight="1" x14ac:dyDescent="0.2">
      <c r="A38" s="44"/>
      <c r="B38" s="33" t="s">
        <v>116</v>
      </c>
      <c r="C38" s="8"/>
      <c r="D38" s="8"/>
      <c r="E38" s="48"/>
      <c r="F38" s="32"/>
      <c r="K38" s="2"/>
      <c r="L38" s="2"/>
      <c r="M38" s="2"/>
    </row>
    <row r="39" spans="1:13" s="9" customFormat="1" ht="14.25" customHeight="1" x14ac:dyDescent="0.2">
      <c r="A39" s="44"/>
      <c r="B39" s="33" t="s">
        <v>118</v>
      </c>
      <c r="C39" s="8"/>
      <c r="D39" s="8"/>
      <c r="E39" s="48"/>
      <c r="F39" s="32"/>
      <c r="K39" s="2"/>
      <c r="L39" s="2"/>
      <c r="M39" s="2"/>
    </row>
    <row r="40" spans="1:13" s="9" customFormat="1" ht="14.25" customHeight="1" x14ac:dyDescent="0.2">
      <c r="A40" s="44"/>
      <c r="B40" s="33" t="s">
        <v>19</v>
      </c>
      <c r="C40" s="8"/>
      <c r="D40" s="8"/>
      <c r="E40" s="48"/>
      <c r="F40" s="32"/>
      <c r="K40" s="2"/>
      <c r="L40" s="2"/>
      <c r="M40" s="2"/>
    </row>
    <row r="41" spans="1:13" s="9" customFormat="1" ht="14.25" customHeight="1" x14ac:dyDescent="0.2">
      <c r="A41" s="44"/>
      <c r="B41" s="33" t="s">
        <v>20</v>
      </c>
      <c r="C41" s="8"/>
      <c r="D41" s="8"/>
      <c r="E41" s="48"/>
      <c r="F41" s="32"/>
      <c r="K41" s="2"/>
      <c r="L41" s="2"/>
      <c r="M41" s="2"/>
    </row>
    <row r="42" spans="1:13" s="9" customFormat="1" ht="14.25" customHeight="1" x14ac:dyDescent="0.2">
      <c r="A42" s="44"/>
      <c r="B42" s="33"/>
      <c r="C42" s="8"/>
      <c r="D42" s="8"/>
      <c r="E42" s="48"/>
      <c r="F42" s="32"/>
      <c r="K42" s="2"/>
      <c r="L42" s="2"/>
      <c r="M42" s="2"/>
    </row>
    <row r="43" spans="1:13" s="9" customFormat="1" ht="14.25" customHeight="1" x14ac:dyDescent="0.2">
      <c r="A43" s="44"/>
      <c r="B43" s="33" t="s">
        <v>116</v>
      </c>
      <c r="C43" s="8" t="s">
        <v>7</v>
      </c>
      <c r="D43" s="8"/>
      <c r="E43" s="48"/>
      <c r="F43" s="32">
        <f>E43*D43</f>
        <v>0</v>
      </c>
      <c r="K43" s="2"/>
      <c r="L43" s="2"/>
      <c r="M43" s="2"/>
    </row>
    <row r="44" spans="1:13" s="9" customFormat="1" ht="14.25" customHeight="1" x14ac:dyDescent="0.2">
      <c r="A44" s="44"/>
      <c r="B44" s="33" t="s">
        <v>118</v>
      </c>
      <c r="C44" s="8"/>
      <c r="D44" s="8"/>
      <c r="E44" s="48"/>
      <c r="F44" s="32"/>
      <c r="K44" s="2"/>
      <c r="L44" s="2"/>
      <c r="M44" s="2"/>
    </row>
    <row r="45" spans="1:13" s="9" customFormat="1" ht="14.25" customHeight="1" x14ac:dyDescent="0.2">
      <c r="A45" s="44"/>
      <c r="B45" s="33" t="s">
        <v>19</v>
      </c>
      <c r="C45" s="8"/>
      <c r="D45" s="8"/>
      <c r="E45" s="48"/>
      <c r="F45" s="32"/>
      <c r="K45" s="2"/>
      <c r="L45" s="2"/>
      <c r="M45" s="2"/>
    </row>
    <row r="46" spans="1:13" s="9" customFormat="1" ht="14.25" customHeight="1" x14ac:dyDescent="0.2">
      <c r="A46" s="44"/>
      <c r="B46" s="33" t="s">
        <v>20</v>
      </c>
      <c r="C46" s="8"/>
      <c r="D46" s="8"/>
      <c r="E46" s="48"/>
      <c r="F46" s="32"/>
      <c r="K46" s="2"/>
      <c r="L46" s="2"/>
      <c r="M46" s="2"/>
    </row>
    <row r="47" spans="1:13" s="9" customFormat="1" ht="14.25" customHeight="1" x14ac:dyDescent="0.2">
      <c r="A47" s="44"/>
      <c r="B47" s="33"/>
      <c r="C47" s="8"/>
      <c r="D47" s="8"/>
      <c r="E47" s="48"/>
      <c r="F47" s="32"/>
      <c r="K47" s="2"/>
      <c r="L47" s="2"/>
      <c r="M47" s="2"/>
    </row>
    <row r="48" spans="1:13" s="9" customFormat="1" ht="14.25" customHeight="1" x14ac:dyDescent="0.25">
      <c r="A48" s="44"/>
      <c r="B48" s="67" t="s">
        <v>96</v>
      </c>
      <c r="C48" s="8"/>
      <c r="D48" s="8"/>
      <c r="E48" s="48"/>
      <c r="F48" s="32"/>
      <c r="K48" s="2"/>
      <c r="L48" s="2"/>
      <c r="M48" s="2"/>
    </row>
    <row r="49" spans="1:13" s="9" customFormat="1" ht="14.25" customHeight="1" x14ac:dyDescent="0.2">
      <c r="A49" s="44"/>
      <c r="B49" s="33" t="s">
        <v>116</v>
      </c>
      <c r="C49" s="8" t="s">
        <v>7</v>
      </c>
      <c r="D49" s="8"/>
      <c r="E49" s="48"/>
      <c r="F49" s="32">
        <f>D49*E49</f>
        <v>0</v>
      </c>
      <c r="K49" s="2"/>
      <c r="L49" s="2"/>
      <c r="M49" s="2"/>
    </row>
    <row r="50" spans="1:13" s="9" customFormat="1" ht="14.25" customHeight="1" x14ac:dyDescent="0.2">
      <c r="A50" s="44"/>
      <c r="B50" s="33" t="s">
        <v>118</v>
      </c>
      <c r="C50" s="8"/>
      <c r="D50" s="8"/>
      <c r="E50" s="48"/>
      <c r="F50" s="32"/>
      <c r="K50" s="2"/>
      <c r="L50" s="2"/>
      <c r="M50" s="2"/>
    </row>
    <row r="51" spans="1:13" s="9" customFormat="1" ht="14.25" customHeight="1" x14ac:dyDescent="0.2">
      <c r="A51" s="44"/>
      <c r="B51" s="33" t="s">
        <v>19</v>
      </c>
      <c r="C51" s="8"/>
      <c r="D51" s="8"/>
      <c r="E51" s="48"/>
      <c r="F51" s="32"/>
      <c r="K51" s="2"/>
      <c r="L51" s="2"/>
      <c r="M51" s="2"/>
    </row>
    <row r="52" spans="1:13" s="9" customFormat="1" ht="14.25" customHeight="1" x14ac:dyDescent="0.2">
      <c r="A52" s="44"/>
      <c r="B52" s="33" t="s">
        <v>20</v>
      </c>
      <c r="C52" s="8"/>
      <c r="D52" s="8"/>
      <c r="E52" s="48"/>
      <c r="F52" s="32"/>
      <c r="K52" s="2"/>
      <c r="L52" s="2"/>
      <c r="M52" s="2"/>
    </row>
    <row r="53" spans="1:13" s="9" customFormat="1" ht="14.25" customHeight="1" x14ac:dyDescent="0.2">
      <c r="A53" s="44"/>
      <c r="B53" s="33"/>
      <c r="C53" s="8"/>
      <c r="D53" s="8"/>
      <c r="E53" s="48"/>
      <c r="F53" s="32"/>
      <c r="K53" s="2"/>
      <c r="L53" s="2"/>
      <c r="M53" s="2"/>
    </row>
    <row r="54" spans="1:13" s="9" customFormat="1" ht="14.25" customHeight="1" x14ac:dyDescent="0.2">
      <c r="A54" s="44"/>
      <c r="B54" s="33" t="s">
        <v>116</v>
      </c>
      <c r="C54" s="8" t="s">
        <v>7</v>
      </c>
      <c r="D54" s="8"/>
      <c r="E54" s="48"/>
      <c r="F54" s="32">
        <f>D54*E54</f>
        <v>0</v>
      </c>
      <c r="K54" s="2"/>
      <c r="L54" s="2"/>
      <c r="M54" s="2"/>
    </row>
    <row r="55" spans="1:13" s="9" customFormat="1" ht="14.25" customHeight="1" x14ac:dyDescent="0.2">
      <c r="A55" s="44"/>
      <c r="B55" s="33" t="s">
        <v>118</v>
      </c>
      <c r="C55" s="8"/>
      <c r="D55" s="8"/>
      <c r="E55" s="48"/>
      <c r="F55" s="32"/>
      <c r="K55" s="2"/>
      <c r="L55" s="2"/>
      <c r="M55" s="2"/>
    </row>
    <row r="56" spans="1:13" s="9" customFormat="1" ht="14.25" customHeight="1" x14ac:dyDescent="0.2">
      <c r="A56" s="44"/>
      <c r="B56" s="33" t="s">
        <v>19</v>
      </c>
      <c r="C56" s="8"/>
      <c r="D56" s="8"/>
      <c r="E56" s="48"/>
      <c r="F56" s="32"/>
      <c r="K56" s="2"/>
      <c r="L56" s="2"/>
      <c r="M56" s="2"/>
    </row>
    <row r="57" spans="1:13" s="9" customFormat="1" ht="14.25" customHeight="1" x14ac:dyDescent="0.2">
      <c r="A57" s="44"/>
      <c r="B57" s="33" t="s">
        <v>20</v>
      </c>
      <c r="C57" s="8"/>
      <c r="D57" s="8"/>
      <c r="E57" s="48"/>
      <c r="F57" s="32"/>
      <c r="K57" s="2"/>
      <c r="L57" s="2"/>
      <c r="M57" s="2"/>
    </row>
    <row r="58" spans="1:13" s="9" customFormat="1" ht="14.25" customHeight="1" x14ac:dyDescent="0.2">
      <c r="A58" s="44"/>
      <c r="B58" s="33"/>
      <c r="C58" s="8"/>
      <c r="D58" s="8"/>
      <c r="E58" s="48"/>
      <c r="F58" s="32"/>
      <c r="K58" s="2"/>
      <c r="L58" s="2"/>
      <c r="M58" s="2"/>
    </row>
    <row r="59" spans="1:13" s="9" customFormat="1" ht="14.25" customHeight="1" x14ac:dyDescent="0.2">
      <c r="A59" s="44"/>
      <c r="B59" s="33" t="s">
        <v>116</v>
      </c>
      <c r="C59" s="8" t="s">
        <v>7</v>
      </c>
      <c r="D59" s="8"/>
      <c r="E59" s="48"/>
      <c r="F59" s="32">
        <f t="shared" ref="F59" si="1">E59*D59</f>
        <v>0</v>
      </c>
      <c r="K59" s="2"/>
      <c r="L59" s="2"/>
      <c r="M59" s="2"/>
    </row>
    <row r="60" spans="1:13" s="9" customFormat="1" ht="14.25" customHeight="1" x14ac:dyDescent="0.2">
      <c r="A60" s="44"/>
      <c r="B60" s="33" t="s">
        <v>118</v>
      </c>
      <c r="C60" s="8"/>
      <c r="D60" s="8"/>
      <c r="E60" s="48"/>
      <c r="F60" s="32"/>
      <c r="K60" s="2"/>
      <c r="L60" s="2"/>
      <c r="M60" s="2"/>
    </row>
    <row r="61" spans="1:13" s="9" customFormat="1" ht="14.25" customHeight="1" x14ac:dyDescent="0.2">
      <c r="A61" s="44"/>
      <c r="B61" s="33" t="s">
        <v>19</v>
      </c>
      <c r="C61" s="8"/>
      <c r="D61" s="8"/>
      <c r="E61" s="48"/>
      <c r="F61" s="32"/>
      <c r="K61" s="2"/>
      <c r="L61" s="2"/>
      <c r="M61" s="2"/>
    </row>
    <row r="62" spans="1:13" s="9" customFormat="1" ht="14.25" customHeight="1" x14ac:dyDescent="0.2">
      <c r="A62" s="44"/>
      <c r="B62" s="33" t="s">
        <v>20</v>
      </c>
      <c r="C62" s="8"/>
      <c r="D62" s="8"/>
      <c r="E62" s="48"/>
      <c r="F62" s="32"/>
      <c r="K62" s="2"/>
      <c r="L62" s="2"/>
      <c r="M62" s="2"/>
    </row>
    <row r="63" spans="1:13" s="9" customFormat="1" ht="14.25" customHeight="1" x14ac:dyDescent="0.2">
      <c r="A63" s="44"/>
      <c r="B63" s="33"/>
      <c r="C63" s="8"/>
      <c r="D63" s="8"/>
      <c r="E63" s="48"/>
      <c r="F63" s="32"/>
      <c r="K63" s="2"/>
      <c r="L63" s="2"/>
      <c r="M63" s="2"/>
    </row>
    <row r="64" spans="1:13" s="9" customFormat="1" ht="14.25" customHeight="1" x14ac:dyDescent="0.2">
      <c r="A64" s="44"/>
      <c r="B64" s="33" t="s">
        <v>116</v>
      </c>
      <c r="C64" s="8" t="s">
        <v>7</v>
      </c>
      <c r="D64" s="8"/>
      <c r="E64" s="48"/>
      <c r="F64" s="32">
        <f t="shared" ref="F64" si="2">E64*D64</f>
        <v>0</v>
      </c>
      <c r="K64" s="2"/>
      <c r="L64" s="2"/>
      <c r="M64" s="2"/>
    </row>
    <row r="65" spans="1:13" s="9" customFormat="1" ht="14.25" customHeight="1" x14ac:dyDescent="0.2">
      <c r="A65" s="44"/>
      <c r="B65" s="33" t="s">
        <v>118</v>
      </c>
      <c r="C65" s="8"/>
      <c r="D65" s="8"/>
      <c r="E65" s="48"/>
      <c r="F65" s="32"/>
      <c r="K65" s="2"/>
      <c r="L65" s="2"/>
      <c r="M65" s="2"/>
    </row>
    <row r="66" spans="1:13" s="9" customFormat="1" ht="14.25" customHeight="1" x14ac:dyDescent="0.2">
      <c r="A66" s="44"/>
      <c r="B66" s="33" t="s">
        <v>19</v>
      </c>
      <c r="C66" s="8"/>
      <c r="D66" s="8"/>
      <c r="E66" s="48"/>
      <c r="F66" s="32"/>
      <c r="K66" s="2"/>
      <c r="L66" s="2"/>
      <c r="M66" s="2"/>
    </row>
    <row r="67" spans="1:13" s="9" customFormat="1" ht="14.25" customHeight="1" x14ac:dyDescent="0.2">
      <c r="A67" s="44"/>
      <c r="B67" s="33" t="s">
        <v>20</v>
      </c>
      <c r="C67" s="8"/>
      <c r="D67" s="8"/>
      <c r="E67" s="48"/>
      <c r="F67" s="32"/>
      <c r="K67" s="2"/>
      <c r="L67" s="2"/>
      <c r="M67" s="2"/>
    </row>
    <row r="68" spans="1:13" s="9" customFormat="1" ht="14.25" customHeight="1" x14ac:dyDescent="0.2">
      <c r="A68" s="44"/>
      <c r="B68" s="33"/>
      <c r="C68" s="8"/>
      <c r="D68" s="8"/>
      <c r="E68" s="48"/>
      <c r="F68" s="32"/>
      <c r="K68" s="2"/>
      <c r="L68" s="2"/>
      <c r="M68" s="2"/>
    </row>
    <row r="69" spans="1:13" s="9" customFormat="1" ht="14.25" customHeight="1" x14ac:dyDescent="0.25">
      <c r="A69" s="44"/>
      <c r="B69" s="67" t="s">
        <v>68</v>
      </c>
      <c r="C69" s="8"/>
      <c r="D69" s="8"/>
      <c r="E69" s="48"/>
      <c r="F69" s="32"/>
      <c r="K69" s="2"/>
      <c r="L69" s="2"/>
      <c r="M69" s="2"/>
    </row>
    <row r="70" spans="1:13" s="9" customFormat="1" ht="14.25" customHeight="1" x14ac:dyDescent="0.2">
      <c r="A70" s="44"/>
      <c r="B70" s="33" t="s">
        <v>119</v>
      </c>
      <c r="C70" s="8" t="s">
        <v>7</v>
      </c>
      <c r="D70" s="8"/>
      <c r="E70" s="48"/>
      <c r="F70" s="32">
        <f>E70*D70</f>
        <v>0</v>
      </c>
      <c r="K70" s="2"/>
      <c r="L70" s="2"/>
      <c r="M70" s="2"/>
    </row>
    <row r="71" spans="1:13" s="9" customFormat="1" ht="14.25" customHeight="1" x14ac:dyDescent="0.2">
      <c r="A71" s="44"/>
      <c r="B71" s="33" t="s">
        <v>120</v>
      </c>
      <c r="C71" s="8"/>
      <c r="D71" s="8"/>
      <c r="E71" s="48"/>
      <c r="F71" s="32"/>
      <c r="K71" s="2"/>
      <c r="L71" s="2"/>
      <c r="M71" s="2"/>
    </row>
    <row r="72" spans="1:13" s="9" customFormat="1" ht="14.25" customHeight="1" x14ac:dyDescent="0.2">
      <c r="A72" s="44"/>
      <c r="B72" s="33" t="s">
        <v>19</v>
      </c>
      <c r="C72" s="8"/>
      <c r="D72" s="8"/>
      <c r="E72" s="48"/>
      <c r="F72" s="32"/>
      <c r="K72" s="2"/>
      <c r="L72" s="2"/>
      <c r="M72" s="2"/>
    </row>
    <row r="73" spans="1:13" s="9" customFormat="1" ht="14.25" customHeight="1" x14ac:dyDescent="0.2">
      <c r="A73" s="44"/>
      <c r="B73" s="33" t="s">
        <v>20</v>
      </c>
      <c r="C73" s="8"/>
      <c r="D73" s="8"/>
      <c r="E73" s="48"/>
      <c r="F73" s="32"/>
      <c r="K73" s="2"/>
      <c r="L73" s="2"/>
      <c r="M73" s="2"/>
    </row>
    <row r="74" spans="1:13" s="9" customFormat="1" ht="14.25" customHeight="1" x14ac:dyDescent="0.2">
      <c r="A74" s="44"/>
      <c r="B74" s="33"/>
      <c r="C74" s="8"/>
      <c r="D74" s="8"/>
      <c r="E74" s="48"/>
      <c r="F74" s="32"/>
      <c r="K74" s="2"/>
      <c r="L74" s="2"/>
      <c r="M74" s="2"/>
    </row>
    <row r="75" spans="1:13" s="9" customFormat="1" ht="14.25" customHeight="1" x14ac:dyDescent="0.2">
      <c r="A75" s="44"/>
      <c r="B75" s="33" t="s">
        <v>105</v>
      </c>
      <c r="C75" s="8" t="s">
        <v>8</v>
      </c>
      <c r="D75" s="8"/>
      <c r="E75" s="48"/>
      <c r="F75" s="32">
        <f>E75*D75</f>
        <v>0</v>
      </c>
      <c r="K75" s="2"/>
      <c r="L75" s="2"/>
      <c r="M75" s="2"/>
    </row>
    <row r="76" spans="1:13" s="9" customFormat="1" ht="14.25" customHeight="1" x14ac:dyDescent="0.2">
      <c r="A76" s="44"/>
      <c r="B76" s="33"/>
      <c r="C76" s="8"/>
      <c r="D76" s="8"/>
      <c r="E76" s="48"/>
      <c r="F76" s="32"/>
      <c r="K76" s="2"/>
      <c r="L76" s="2"/>
      <c r="M76" s="2"/>
    </row>
    <row r="77" spans="1:13" s="1" customFormat="1" ht="17.25" customHeight="1" x14ac:dyDescent="0.2">
      <c r="A77" s="44"/>
      <c r="B77" s="25" t="s">
        <v>21</v>
      </c>
      <c r="C77" s="8"/>
      <c r="D77" s="8"/>
      <c r="E77" s="48"/>
      <c r="F77" s="32"/>
    </row>
    <row r="78" spans="1:13" s="1" customFormat="1" ht="17.25" customHeight="1" x14ac:dyDescent="0.2">
      <c r="A78" s="44"/>
      <c r="B78" s="31"/>
      <c r="C78" s="8"/>
      <c r="D78" s="8"/>
      <c r="E78" s="48"/>
      <c r="F78" s="32"/>
    </row>
    <row r="79" spans="1:13" s="1" customFormat="1" ht="17.25" customHeight="1" x14ac:dyDescent="0.25">
      <c r="A79" s="44"/>
      <c r="B79" s="67" t="s">
        <v>97</v>
      </c>
      <c r="C79" s="8"/>
      <c r="D79" s="8"/>
      <c r="E79" s="48"/>
      <c r="F79" s="32"/>
    </row>
    <row r="80" spans="1:13" s="1" customFormat="1" ht="17.25" customHeight="1" x14ac:dyDescent="0.2">
      <c r="A80" s="44"/>
      <c r="B80" s="31" t="s">
        <v>93</v>
      </c>
      <c r="C80" s="8" t="s">
        <v>8</v>
      </c>
      <c r="D80" s="8"/>
      <c r="E80" s="48"/>
      <c r="F80" s="32">
        <f>E80*D80</f>
        <v>0</v>
      </c>
    </row>
    <row r="81" spans="1:6" s="1" customFormat="1" ht="17.25" customHeight="1" x14ac:dyDescent="0.2">
      <c r="A81" s="44"/>
      <c r="B81" s="33" t="s">
        <v>19</v>
      </c>
      <c r="C81" s="8"/>
      <c r="D81" s="8"/>
      <c r="E81" s="48"/>
      <c r="F81" s="32"/>
    </row>
    <row r="82" spans="1:6" s="1" customFormat="1" ht="17.25" customHeight="1" x14ac:dyDescent="0.2">
      <c r="A82" s="44"/>
      <c r="B82" s="33" t="s">
        <v>20</v>
      </c>
      <c r="C82" s="8"/>
      <c r="D82" s="8"/>
      <c r="E82" s="48"/>
      <c r="F82" s="32"/>
    </row>
    <row r="83" spans="1:6" s="1" customFormat="1" ht="17.25" customHeight="1" x14ac:dyDescent="0.2">
      <c r="A83" s="44"/>
      <c r="B83" s="31" t="s">
        <v>94</v>
      </c>
      <c r="C83" s="8" t="s">
        <v>8</v>
      </c>
      <c r="D83" s="8"/>
      <c r="E83" s="48"/>
      <c r="F83" s="32">
        <f t="shared" ref="F83:F107" si="3">E83*D83</f>
        <v>0</v>
      </c>
    </row>
    <row r="84" spans="1:6" s="1" customFormat="1" ht="17.25" customHeight="1" x14ac:dyDescent="0.2">
      <c r="A84" s="44"/>
      <c r="B84" s="33" t="s">
        <v>19</v>
      </c>
      <c r="C84" s="8"/>
      <c r="D84" s="8"/>
      <c r="E84" s="48"/>
      <c r="F84" s="32"/>
    </row>
    <row r="85" spans="1:6" s="1" customFormat="1" ht="17.25" customHeight="1" x14ac:dyDescent="0.2">
      <c r="A85" s="44"/>
      <c r="B85" s="33" t="s">
        <v>20</v>
      </c>
      <c r="C85" s="8"/>
      <c r="D85" s="8"/>
      <c r="E85" s="48"/>
      <c r="F85" s="32"/>
    </row>
    <row r="86" spans="1:6" s="1" customFormat="1" ht="17.25" customHeight="1" x14ac:dyDescent="0.2">
      <c r="A86" s="44"/>
      <c r="B86" s="31"/>
      <c r="C86" s="8"/>
      <c r="D86" s="8"/>
      <c r="E86" s="48"/>
      <c r="F86" s="32"/>
    </row>
    <row r="87" spans="1:6" s="1" customFormat="1" ht="17.25" customHeight="1" x14ac:dyDescent="0.25">
      <c r="A87" s="44"/>
      <c r="B87" s="67" t="s">
        <v>98</v>
      </c>
      <c r="C87" s="8"/>
      <c r="D87" s="8"/>
      <c r="E87" s="48"/>
      <c r="F87" s="32"/>
    </row>
    <row r="88" spans="1:6" s="1" customFormat="1" ht="17.25" customHeight="1" x14ac:dyDescent="0.2">
      <c r="A88" s="44"/>
      <c r="B88" s="31" t="s">
        <v>93</v>
      </c>
      <c r="C88" s="8" t="s">
        <v>8</v>
      </c>
      <c r="D88" s="8"/>
      <c r="E88" s="48"/>
      <c r="F88" s="32">
        <f t="shared" si="3"/>
        <v>0</v>
      </c>
    </row>
    <row r="89" spans="1:6" s="1" customFormat="1" ht="17.25" customHeight="1" x14ac:dyDescent="0.2">
      <c r="A89" s="44"/>
      <c r="B89" s="33" t="s">
        <v>19</v>
      </c>
      <c r="C89" s="8"/>
      <c r="D89" s="8"/>
      <c r="E89" s="48"/>
      <c r="F89" s="32"/>
    </row>
    <row r="90" spans="1:6" s="1" customFormat="1" ht="17.25" customHeight="1" x14ac:dyDescent="0.2">
      <c r="A90" s="44"/>
      <c r="B90" s="33" t="s">
        <v>20</v>
      </c>
      <c r="C90" s="8"/>
      <c r="D90" s="8"/>
      <c r="E90" s="48"/>
      <c r="F90" s="32"/>
    </row>
    <row r="91" spans="1:6" s="1" customFormat="1" ht="17.25" customHeight="1" x14ac:dyDescent="0.2">
      <c r="A91" s="44"/>
      <c r="B91" s="31" t="s">
        <v>94</v>
      </c>
      <c r="C91" s="8" t="s">
        <v>8</v>
      </c>
      <c r="D91" s="8"/>
      <c r="E91" s="48"/>
      <c r="F91" s="32">
        <f t="shared" si="3"/>
        <v>0</v>
      </c>
    </row>
    <row r="92" spans="1:6" s="1" customFormat="1" ht="17.25" customHeight="1" x14ac:dyDescent="0.2">
      <c r="A92" s="44"/>
      <c r="B92" s="33" t="s">
        <v>19</v>
      </c>
      <c r="C92" s="8"/>
      <c r="D92" s="8"/>
      <c r="E92" s="48"/>
      <c r="F92" s="32"/>
    </row>
    <row r="93" spans="1:6" s="1" customFormat="1" ht="17.25" customHeight="1" x14ac:dyDescent="0.2">
      <c r="A93" s="44"/>
      <c r="B93" s="33" t="s">
        <v>20</v>
      </c>
      <c r="C93" s="8"/>
      <c r="D93" s="8"/>
      <c r="E93" s="48"/>
      <c r="F93" s="32"/>
    </row>
    <row r="94" spans="1:6" s="1" customFormat="1" ht="17.25" customHeight="1" x14ac:dyDescent="0.2">
      <c r="A94" s="44"/>
      <c r="B94" s="31"/>
      <c r="C94" s="8"/>
      <c r="D94" s="8"/>
      <c r="E94" s="48"/>
      <c r="F94" s="32"/>
    </row>
    <row r="95" spans="1:6" s="1" customFormat="1" ht="17.25" customHeight="1" x14ac:dyDescent="0.25">
      <c r="A95" s="44"/>
      <c r="B95" s="67" t="s">
        <v>99</v>
      </c>
      <c r="C95" s="8"/>
      <c r="D95" s="8"/>
      <c r="E95" s="48"/>
      <c r="F95" s="32"/>
    </row>
    <row r="96" spans="1:6" s="1" customFormat="1" ht="17.25" customHeight="1" x14ac:dyDescent="0.2">
      <c r="A96" s="44"/>
      <c r="B96" s="31" t="s">
        <v>93</v>
      </c>
      <c r="C96" s="8" t="s">
        <v>8</v>
      </c>
      <c r="D96" s="8"/>
      <c r="E96" s="48"/>
      <c r="F96" s="32">
        <f t="shared" si="3"/>
        <v>0</v>
      </c>
    </row>
    <row r="97" spans="1:6" s="1" customFormat="1" ht="17.25" customHeight="1" x14ac:dyDescent="0.2">
      <c r="A97" s="44"/>
      <c r="B97" s="33" t="s">
        <v>19</v>
      </c>
      <c r="C97" s="8"/>
      <c r="D97" s="8"/>
      <c r="E97" s="48"/>
      <c r="F97" s="32"/>
    </row>
    <row r="98" spans="1:6" s="1" customFormat="1" ht="17.25" customHeight="1" x14ac:dyDescent="0.2">
      <c r="A98" s="44"/>
      <c r="B98" s="33" t="s">
        <v>20</v>
      </c>
      <c r="C98" s="8"/>
      <c r="D98" s="8"/>
      <c r="E98" s="48"/>
      <c r="F98" s="32"/>
    </row>
    <row r="99" spans="1:6" s="1" customFormat="1" ht="17.25" customHeight="1" x14ac:dyDescent="0.2">
      <c r="A99" s="44"/>
      <c r="B99" s="31" t="s">
        <v>94</v>
      </c>
      <c r="C99" s="8" t="s">
        <v>8</v>
      </c>
      <c r="D99" s="8"/>
      <c r="E99" s="48"/>
      <c r="F99" s="32">
        <f t="shared" si="3"/>
        <v>0</v>
      </c>
    </row>
    <row r="100" spans="1:6" s="1" customFormat="1" ht="17.25" customHeight="1" x14ac:dyDescent="0.2">
      <c r="A100" s="44"/>
      <c r="B100" s="33" t="s">
        <v>19</v>
      </c>
      <c r="C100" s="8"/>
      <c r="D100" s="8"/>
      <c r="E100" s="48"/>
      <c r="F100" s="32"/>
    </row>
    <row r="101" spans="1:6" s="1" customFormat="1" ht="17.25" customHeight="1" x14ac:dyDescent="0.2">
      <c r="A101" s="44"/>
      <c r="B101" s="33" t="s">
        <v>20</v>
      </c>
      <c r="C101" s="8"/>
      <c r="D101" s="8"/>
      <c r="E101" s="48"/>
      <c r="F101" s="32"/>
    </row>
    <row r="102" spans="1:6" s="1" customFormat="1" ht="17.25" customHeight="1" x14ac:dyDescent="0.2">
      <c r="A102" s="44"/>
      <c r="B102" s="31"/>
      <c r="C102" s="8"/>
      <c r="D102" s="8"/>
      <c r="E102" s="48"/>
      <c r="F102" s="32"/>
    </row>
    <row r="103" spans="1:6" s="1" customFormat="1" ht="17.25" customHeight="1" x14ac:dyDescent="0.25">
      <c r="A103" s="44"/>
      <c r="B103" s="67" t="s">
        <v>100</v>
      </c>
      <c r="C103" s="8"/>
      <c r="D103" s="8"/>
      <c r="E103" s="48"/>
      <c r="F103" s="32"/>
    </row>
    <row r="104" spans="1:6" s="1" customFormat="1" ht="17.25" customHeight="1" x14ac:dyDescent="0.2">
      <c r="A104" s="44"/>
      <c r="B104" s="31" t="s">
        <v>93</v>
      </c>
      <c r="C104" s="8" t="s">
        <v>8</v>
      </c>
      <c r="D104" s="8"/>
      <c r="E104" s="48"/>
      <c r="F104" s="32">
        <f t="shared" si="3"/>
        <v>0</v>
      </c>
    </row>
    <row r="105" spans="1:6" s="1" customFormat="1" ht="17.25" customHeight="1" x14ac:dyDescent="0.2">
      <c r="A105" s="44"/>
      <c r="B105" s="33" t="s">
        <v>19</v>
      </c>
      <c r="C105" s="8"/>
      <c r="D105" s="8"/>
      <c r="E105" s="48"/>
      <c r="F105" s="32"/>
    </row>
    <row r="106" spans="1:6" s="1" customFormat="1" ht="17.25" customHeight="1" x14ac:dyDescent="0.2">
      <c r="A106" s="44"/>
      <c r="B106" s="33" t="s">
        <v>20</v>
      </c>
      <c r="C106" s="8"/>
      <c r="D106" s="8"/>
      <c r="E106" s="48"/>
      <c r="F106" s="32"/>
    </row>
    <row r="107" spans="1:6" s="1" customFormat="1" ht="17.25" customHeight="1" x14ac:dyDescent="0.2">
      <c r="A107" s="44"/>
      <c r="B107" s="31" t="s">
        <v>94</v>
      </c>
      <c r="C107" s="8" t="s">
        <v>8</v>
      </c>
      <c r="D107" s="8"/>
      <c r="E107" s="48"/>
      <c r="F107" s="32">
        <f t="shared" si="3"/>
        <v>0</v>
      </c>
    </row>
    <row r="108" spans="1:6" s="1" customFormat="1" ht="17.25" customHeight="1" x14ac:dyDescent="0.2">
      <c r="A108" s="44"/>
      <c r="B108" s="33" t="s">
        <v>19</v>
      </c>
      <c r="C108" s="8"/>
      <c r="D108" s="8"/>
      <c r="E108" s="48"/>
      <c r="F108" s="32"/>
    </row>
    <row r="109" spans="1:6" s="1" customFormat="1" ht="17.25" customHeight="1" x14ac:dyDescent="0.2">
      <c r="A109" s="44"/>
      <c r="B109" s="33" t="s">
        <v>20</v>
      </c>
      <c r="C109" s="8"/>
      <c r="D109" s="8"/>
      <c r="E109" s="48"/>
      <c r="F109" s="32"/>
    </row>
    <row r="110" spans="1:6" s="1" customFormat="1" ht="17.25" customHeight="1" x14ac:dyDescent="0.2">
      <c r="A110" s="44"/>
      <c r="B110" s="34"/>
      <c r="C110" s="8"/>
      <c r="D110" s="8"/>
      <c r="E110" s="48"/>
      <c r="F110" s="32"/>
    </row>
    <row r="111" spans="1:6" s="1" customFormat="1" ht="17.25" customHeight="1" x14ac:dyDescent="0.2">
      <c r="A111" s="44"/>
      <c r="B111" s="25" t="s">
        <v>22</v>
      </c>
      <c r="C111" s="8"/>
      <c r="D111" s="8"/>
      <c r="E111" s="48"/>
      <c r="F111" s="32"/>
    </row>
    <row r="112" spans="1:6" s="1" customFormat="1" ht="17.25" customHeight="1" x14ac:dyDescent="0.2">
      <c r="A112" s="44"/>
      <c r="B112" s="31"/>
      <c r="C112" s="8"/>
      <c r="D112" s="8"/>
      <c r="E112" s="48"/>
      <c r="F112" s="32"/>
    </row>
    <row r="113" spans="1:6" s="1" customFormat="1" ht="17.25" customHeight="1" x14ac:dyDescent="0.2">
      <c r="A113" s="44"/>
      <c r="B113" s="35" t="s">
        <v>23</v>
      </c>
      <c r="C113" s="8"/>
      <c r="D113" s="8"/>
      <c r="E113" s="48"/>
      <c r="F113" s="32"/>
    </row>
    <row r="114" spans="1:6" s="1" customFormat="1" ht="17.25" customHeight="1" x14ac:dyDescent="0.2">
      <c r="A114" s="44"/>
      <c r="B114" s="33" t="s">
        <v>19</v>
      </c>
      <c r="C114" s="8"/>
      <c r="D114" s="8"/>
      <c r="E114" s="48"/>
      <c r="F114" s="32"/>
    </row>
    <row r="115" spans="1:6" s="1" customFormat="1" ht="17.25" customHeight="1" x14ac:dyDescent="0.2">
      <c r="A115" s="44"/>
      <c r="B115" s="33" t="s">
        <v>20</v>
      </c>
      <c r="C115" s="8" t="s">
        <v>6</v>
      </c>
      <c r="D115" s="8"/>
      <c r="E115" s="48"/>
      <c r="F115" s="32">
        <f t="shared" ref="F115:F131" si="4">E115*D115</f>
        <v>0</v>
      </c>
    </row>
    <row r="116" spans="1:6" s="1" customFormat="1" ht="17.25" customHeight="1" x14ac:dyDescent="0.2">
      <c r="A116" s="44"/>
      <c r="B116" s="33"/>
      <c r="C116" s="8"/>
      <c r="D116" s="8"/>
      <c r="E116" s="48"/>
      <c r="F116" s="32"/>
    </row>
    <row r="117" spans="1:6" s="1" customFormat="1" ht="17.25" customHeight="1" x14ac:dyDescent="0.2">
      <c r="A117" s="44"/>
      <c r="B117" s="33" t="s">
        <v>124</v>
      </c>
      <c r="C117" s="8" t="s">
        <v>7</v>
      </c>
      <c r="D117" s="8"/>
      <c r="E117" s="48"/>
      <c r="F117" s="32"/>
    </row>
    <row r="118" spans="1:6" s="1" customFormat="1" ht="17.25" customHeight="1" x14ac:dyDescent="0.2">
      <c r="A118" s="44"/>
      <c r="B118" s="31"/>
      <c r="C118" s="8"/>
      <c r="D118" s="8"/>
      <c r="E118" s="48"/>
      <c r="F118" s="32"/>
    </row>
    <row r="119" spans="1:6" s="1" customFormat="1" ht="17.25" customHeight="1" x14ac:dyDescent="0.2">
      <c r="A119" s="44"/>
      <c r="B119" s="25" t="s">
        <v>43</v>
      </c>
      <c r="C119" s="8"/>
      <c r="D119" s="8"/>
      <c r="E119" s="48"/>
      <c r="F119" s="32"/>
    </row>
    <row r="120" spans="1:6" s="1" customFormat="1" ht="17.25" customHeight="1" x14ac:dyDescent="0.2">
      <c r="A120" s="44"/>
      <c r="B120" s="31"/>
      <c r="C120" s="8"/>
      <c r="D120" s="8"/>
      <c r="E120" s="48"/>
      <c r="F120" s="32"/>
    </row>
    <row r="121" spans="1:6" s="1" customFormat="1" ht="17.25" customHeight="1" x14ac:dyDescent="0.2">
      <c r="A121" s="44"/>
      <c r="B121" s="31" t="s">
        <v>44</v>
      </c>
      <c r="C121" s="8" t="s">
        <v>7</v>
      </c>
      <c r="D121" s="8"/>
      <c r="E121" s="48"/>
      <c r="F121" s="32">
        <f t="shared" si="4"/>
        <v>0</v>
      </c>
    </row>
    <row r="122" spans="1:6" s="1" customFormat="1" ht="17.25" customHeight="1" x14ac:dyDescent="0.2">
      <c r="A122" s="44"/>
      <c r="B122" s="33" t="s">
        <v>19</v>
      </c>
      <c r="C122" s="8"/>
      <c r="D122" s="8"/>
      <c r="E122" s="48"/>
      <c r="F122" s="32"/>
    </row>
    <row r="123" spans="1:6" s="1" customFormat="1" ht="17.25" customHeight="1" x14ac:dyDescent="0.2">
      <c r="A123" s="44"/>
      <c r="B123" s="33" t="s">
        <v>20</v>
      </c>
      <c r="C123" s="8"/>
      <c r="D123" s="8"/>
      <c r="E123" s="48"/>
      <c r="F123" s="32"/>
    </row>
    <row r="124" spans="1:6" s="1" customFormat="1" ht="17.25" customHeight="1" x14ac:dyDescent="0.2">
      <c r="A124" s="44"/>
      <c r="B124" s="31"/>
      <c r="C124" s="8"/>
      <c r="D124" s="8"/>
      <c r="E124" s="48"/>
      <c r="F124" s="32"/>
    </row>
    <row r="125" spans="1:6" s="1" customFormat="1" ht="17.25" customHeight="1" x14ac:dyDescent="0.2">
      <c r="A125" s="44"/>
      <c r="B125" s="25" t="s">
        <v>24</v>
      </c>
      <c r="C125" s="8"/>
      <c r="D125" s="8"/>
      <c r="E125" s="48"/>
      <c r="F125" s="32"/>
    </row>
    <row r="126" spans="1:6" s="1" customFormat="1" ht="17.25" customHeight="1" x14ac:dyDescent="0.2">
      <c r="A126" s="44"/>
      <c r="B126" s="28"/>
      <c r="C126" s="8"/>
      <c r="D126" s="8"/>
      <c r="E126" s="48"/>
      <c r="F126" s="32"/>
    </row>
    <row r="127" spans="1:6" s="1" customFormat="1" ht="11.25" customHeight="1" x14ac:dyDescent="0.2">
      <c r="A127" s="44"/>
      <c r="B127" s="31" t="s">
        <v>69</v>
      </c>
      <c r="C127" s="8" t="s">
        <v>6</v>
      </c>
      <c r="D127" s="8"/>
      <c r="E127" s="48"/>
      <c r="F127" s="32">
        <f t="shared" si="4"/>
        <v>0</v>
      </c>
    </row>
    <row r="128" spans="1:6" s="1" customFormat="1" ht="12.75" customHeight="1" x14ac:dyDescent="0.2">
      <c r="A128" s="44"/>
      <c r="B128" s="33" t="s">
        <v>25</v>
      </c>
      <c r="C128" s="8"/>
      <c r="D128" s="8"/>
      <c r="E128" s="48"/>
      <c r="F128" s="32"/>
    </row>
    <row r="129" spans="1:13" s="1" customFormat="1" ht="12.75" customHeight="1" x14ac:dyDescent="0.2">
      <c r="A129" s="44"/>
      <c r="B129" s="33" t="s">
        <v>26</v>
      </c>
      <c r="C129" s="8"/>
      <c r="D129" s="8"/>
      <c r="E129" s="48"/>
      <c r="F129" s="32"/>
    </row>
    <row r="130" spans="1:13" s="1" customFormat="1" ht="16.5" customHeight="1" x14ac:dyDescent="0.2">
      <c r="A130" s="44"/>
      <c r="B130" s="31"/>
      <c r="C130" s="8"/>
      <c r="D130" s="8"/>
      <c r="E130" s="48"/>
      <c r="F130" s="32"/>
    </row>
    <row r="131" spans="1:13" s="1" customFormat="1" ht="16.5" customHeight="1" x14ac:dyDescent="0.2">
      <c r="A131" s="44"/>
      <c r="B131" s="31" t="s">
        <v>70</v>
      </c>
      <c r="C131" s="8" t="s">
        <v>6</v>
      </c>
      <c r="D131" s="8"/>
      <c r="E131" s="48"/>
      <c r="F131" s="32">
        <f t="shared" si="4"/>
        <v>0</v>
      </c>
    </row>
    <row r="132" spans="1:13" s="1" customFormat="1" ht="16.5" customHeight="1" x14ac:dyDescent="0.2">
      <c r="A132" s="44"/>
      <c r="B132" s="33" t="s">
        <v>25</v>
      </c>
      <c r="C132" s="8"/>
      <c r="D132" s="8"/>
      <c r="E132" s="48"/>
      <c r="F132" s="29"/>
    </row>
    <row r="133" spans="1:13" s="1" customFormat="1" ht="16.5" customHeight="1" x14ac:dyDescent="0.2">
      <c r="A133" s="44"/>
      <c r="B133" s="33" t="s">
        <v>26</v>
      </c>
      <c r="C133" s="8"/>
      <c r="D133" s="8"/>
      <c r="E133" s="48"/>
      <c r="F133" s="29"/>
    </row>
    <row r="134" spans="1:13" s="1" customFormat="1" ht="16.5" customHeight="1" x14ac:dyDescent="0.2">
      <c r="A134" s="44"/>
      <c r="B134" s="31"/>
      <c r="C134" s="8"/>
      <c r="D134" s="8"/>
      <c r="E134" s="48"/>
      <c r="F134" s="29"/>
    </row>
    <row r="135" spans="1:13" s="9" customFormat="1" ht="14.25" customHeight="1" x14ac:dyDescent="0.2">
      <c r="A135" s="44"/>
      <c r="B135" s="28" t="s">
        <v>27</v>
      </c>
      <c r="C135" s="8" t="s">
        <v>5</v>
      </c>
      <c r="D135" s="8"/>
      <c r="E135" s="48"/>
      <c r="F135" s="32">
        <f>E135*D135</f>
        <v>0</v>
      </c>
      <c r="K135" s="2"/>
      <c r="L135" s="2"/>
      <c r="M135" s="2"/>
    </row>
    <row r="136" spans="1:13" s="9" customFormat="1" ht="14.25" customHeight="1" x14ac:dyDescent="0.2">
      <c r="A136" s="44"/>
      <c r="B136" s="28"/>
      <c r="C136" s="8"/>
      <c r="D136" s="8"/>
      <c r="E136" s="48"/>
      <c r="F136" s="26"/>
      <c r="K136" s="2"/>
      <c r="L136" s="2"/>
      <c r="M136" s="2"/>
    </row>
    <row r="137" spans="1:13" s="1" customFormat="1" ht="17.25" customHeight="1" x14ac:dyDescent="0.2">
      <c r="A137" s="44"/>
      <c r="B137" s="28" t="s">
        <v>38</v>
      </c>
      <c r="C137" s="8" t="s">
        <v>49</v>
      </c>
      <c r="D137" s="8"/>
      <c r="E137" s="48"/>
      <c r="F137" s="29"/>
    </row>
    <row r="138" spans="1:13" s="1" customFormat="1" ht="17.25" customHeight="1" x14ac:dyDescent="0.2">
      <c r="A138" s="44"/>
      <c r="B138" s="31"/>
      <c r="C138" s="8"/>
      <c r="D138" s="8"/>
      <c r="E138" s="48"/>
      <c r="F138" s="29"/>
    </row>
    <row r="139" spans="1:13" s="1" customFormat="1" ht="17.25" customHeight="1" x14ac:dyDescent="0.2">
      <c r="A139" s="44"/>
      <c r="B139" s="28" t="s">
        <v>45</v>
      </c>
      <c r="C139" s="8"/>
      <c r="D139" s="8"/>
      <c r="E139" s="48"/>
      <c r="F139" s="29"/>
    </row>
    <row r="140" spans="1:13" s="1" customFormat="1" ht="17.25" customHeight="1" x14ac:dyDescent="0.2">
      <c r="A140" s="44"/>
      <c r="B140" s="31"/>
      <c r="C140" s="8"/>
      <c r="D140" s="8"/>
      <c r="E140" s="48"/>
      <c r="F140" s="29"/>
    </row>
    <row r="141" spans="1:13" s="1" customFormat="1" ht="17.25" customHeight="1" x14ac:dyDescent="0.2">
      <c r="A141" s="44"/>
      <c r="B141" s="31" t="s">
        <v>45</v>
      </c>
      <c r="C141" s="8" t="s">
        <v>5</v>
      </c>
      <c r="D141" s="8"/>
      <c r="E141" s="48"/>
      <c r="F141" s="32">
        <f>D141*E141</f>
        <v>0</v>
      </c>
    </row>
    <row r="142" spans="1:13" s="1" customFormat="1" ht="17.25" customHeight="1" x14ac:dyDescent="0.2">
      <c r="A142" s="44"/>
      <c r="B142" s="31"/>
      <c r="C142" s="8"/>
      <c r="D142" s="8"/>
      <c r="E142" s="48"/>
      <c r="F142" s="32"/>
    </row>
    <row r="143" spans="1:13" s="1" customFormat="1" ht="17.25" customHeight="1" x14ac:dyDescent="0.2">
      <c r="A143" s="44"/>
      <c r="B143" s="28" t="s">
        <v>28</v>
      </c>
      <c r="C143" s="8"/>
      <c r="D143" s="8"/>
      <c r="E143" s="48"/>
      <c r="F143" s="32"/>
    </row>
    <row r="144" spans="1:13" s="1" customFormat="1" ht="17.25" customHeight="1" x14ac:dyDescent="0.2">
      <c r="A144" s="44"/>
      <c r="B144" s="31"/>
      <c r="C144" s="8"/>
      <c r="D144" s="8"/>
      <c r="E144" s="48"/>
      <c r="F144" s="32"/>
    </row>
    <row r="145" spans="1:6" s="1" customFormat="1" ht="17.25" customHeight="1" x14ac:dyDescent="0.2">
      <c r="A145" s="44"/>
      <c r="B145" s="31" t="s">
        <v>28</v>
      </c>
      <c r="C145" s="8" t="s">
        <v>9</v>
      </c>
      <c r="D145" s="8"/>
      <c r="E145" s="48"/>
      <c r="F145" s="32">
        <f t="shared" ref="F145" si="5">D145*E145</f>
        <v>0</v>
      </c>
    </row>
    <row r="146" spans="1:6" s="1" customFormat="1" ht="17.25" customHeight="1" x14ac:dyDescent="0.2">
      <c r="A146" s="44"/>
      <c r="B146" s="31"/>
      <c r="C146" s="8"/>
      <c r="D146" s="8"/>
      <c r="E146" s="48"/>
      <c r="F146" s="29"/>
    </row>
    <row r="147" spans="1:6" s="1" customFormat="1" ht="17.25" customHeight="1" x14ac:dyDescent="0.2">
      <c r="A147" s="44"/>
      <c r="B147" s="28" t="s">
        <v>125</v>
      </c>
      <c r="C147" s="8" t="s">
        <v>8</v>
      </c>
      <c r="D147" s="8"/>
      <c r="E147" s="48"/>
      <c r="F147" s="29"/>
    </row>
    <row r="148" spans="1:6" s="1" customFormat="1" ht="17.25" customHeight="1" x14ac:dyDescent="0.2">
      <c r="A148" s="44"/>
      <c r="B148" s="31"/>
      <c r="C148" s="8"/>
      <c r="D148" s="8"/>
      <c r="E148" s="48"/>
      <c r="F148" s="29"/>
    </row>
    <row r="149" spans="1:6" s="1" customFormat="1" ht="17.25" customHeight="1" x14ac:dyDescent="0.2">
      <c r="A149" s="44"/>
      <c r="B149" s="28" t="s">
        <v>126</v>
      </c>
      <c r="C149" s="8" t="s">
        <v>8</v>
      </c>
      <c r="D149" s="8"/>
      <c r="E149" s="48"/>
      <c r="F149" s="29"/>
    </row>
    <row r="150" spans="1:6" s="1" customFormat="1" ht="17.25" customHeight="1" x14ac:dyDescent="0.2">
      <c r="A150" s="44"/>
      <c r="B150" s="31"/>
      <c r="C150" s="8"/>
      <c r="D150" s="8"/>
      <c r="E150" s="48"/>
      <c r="F150" s="29"/>
    </row>
    <row r="151" spans="1:6" s="9" customFormat="1" ht="14.25" customHeight="1" x14ac:dyDescent="0.2">
      <c r="A151" s="44"/>
      <c r="B151" s="99" t="s">
        <v>16</v>
      </c>
      <c r="C151" s="100"/>
      <c r="D151" s="100"/>
      <c r="E151" s="49"/>
      <c r="F151" s="54">
        <f>SUM(F10:F150)</f>
        <v>0</v>
      </c>
    </row>
    <row r="152" spans="1:6" s="9" customFormat="1" ht="14.25" customHeight="1" x14ac:dyDescent="0.2">
      <c r="A152" s="44" t="s">
        <v>129</v>
      </c>
      <c r="B152" s="25" t="s">
        <v>127</v>
      </c>
      <c r="C152" s="8"/>
      <c r="D152" s="8"/>
      <c r="E152" s="48"/>
      <c r="F152" s="26"/>
    </row>
    <row r="153" spans="1:6" s="9" customFormat="1" ht="14.25" customHeight="1" x14ac:dyDescent="0.2">
      <c r="A153" s="44"/>
      <c r="B153" s="37" t="s">
        <v>71</v>
      </c>
      <c r="C153" s="8" t="s">
        <v>7</v>
      </c>
      <c r="D153" s="8"/>
      <c r="E153" s="48"/>
      <c r="F153" s="32">
        <f>E153*D153</f>
        <v>0</v>
      </c>
    </row>
    <row r="154" spans="1:6" s="9" customFormat="1" ht="14.25" customHeight="1" x14ac:dyDescent="0.2">
      <c r="A154" s="44"/>
      <c r="B154" s="38" t="s">
        <v>25</v>
      </c>
      <c r="C154" s="8"/>
      <c r="D154" s="8"/>
      <c r="E154" s="48"/>
      <c r="F154" s="32"/>
    </row>
    <row r="155" spans="1:6" s="9" customFormat="1" ht="14.25" customHeight="1" x14ac:dyDescent="0.2">
      <c r="A155" s="44"/>
      <c r="B155" s="38" t="s">
        <v>26</v>
      </c>
      <c r="C155" s="8"/>
      <c r="D155" s="8"/>
      <c r="E155" s="48"/>
      <c r="F155" s="32"/>
    </row>
    <row r="156" spans="1:6" s="9" customFormat="1" ht="14.25" customHeight="1" x14ac:dyDescent="0.2">
      <c r="A156" s="44"/>
      <c r="B156" s="37"/>
      <c r="C156" s="8"/>
      <c r="D156" s="8"/>
      <c r="E156" s="48"/>
      <c r="F156" s="32"/>
    </row>
    <row r="157" spans="1:6" s="9" customFormat="1" ht="14.25" customHeight="1" x14ac:dyDescent="0.2">
      <c r="A157" s="44"/>
      <c r="B157" s="37" t="s">
        <v>128</v>
      </c>
      <c r="C157" s="8" t="s">
        <v>7</v>
      </c>
      <c r="D157" s="8"/>
      <c r="E157" s="48"/>
      <c r="F157" s="32">
        <f t="shared" ref="F157:F167" si="6">E157*D157</f>
        <v>0</v>
      </c>
    </row>
    <row r="158" spans="1:6" s="9" customFormat="1" ht="14.25" customHeight="1" x14ac:dyDescent="0.2">
      <c r="A158" s="44"/>
      <c r="B158" s="38" t="s">
        <v>25</v>
      </c>
      <c r="C158" s="8"/>
      <c r="D158" s="8"/>
      <c r="E158" s="48"/>
      <c r="F158" s="32"/>
    </row>
    <row r="159" spans="1:6" s="9" customFormat="1" ht="14.25" customHeight="1" x14ac:dyDescent="0.2">
      <c r="A159" s="44"/>
      <c r="B159" s="38" t="s">
        <v>26</v>
      </c>
      <c r="C159" s="8"/>
      <c r="D159" s="8"/>
      <c r="E159" s="48"/>
      <c r="F159" s="32"/>
    </row>
    <row r="160" spans="1:6" s="9" customFormat="1" ht="14.25" customHeight="1" x14ac:dyDescent="0.2">
      <c r="A160" s="44"/>
      <c r="B160" s="39"/>
      <c r="C160" s="8"/>
      <c r="D160" s="8"/>
      <c r="E160" s="48"/>
      <c r="F160" s="32"/>
    </row>
    <row r="161" spans="1:6" s="9" customFormat="1" ht="14.25" customHeight="1" x14ac:dyDescent="0.2">
      <c r="A161" s="44"/>
      <c r="B161" s="37" t="s">
        <v>29</v>
      </c>
      <c r="C161" s="8" t="s">
        <v>7</v>
      </c>
      <c r="D161" s="8"/>
      <c r="E161" s="48"/>
      <c r="F161" s="32">
        <f t="shared" si="6"/>
        <v>0</v>
      </c>
    </row>
    <row r="162" spans="1:6" s="9" customFormat="1" ht="14.25" customHeight="1" x14ac:dyDescent="0.2">
      <c r="A162" s="44"/>
      <c r="B162" s="39"/>
      <c r="C162" s="8"/>
      <c r="D162" s="8"/>
      <c r="E162" s="48"/>
      <c r="F162" s="32"/>
    </row>
    <row r="163" spans="1:6" s="9" customFormat="1" ht="14.25" customHeight="1" x14ac:dyDescent="0.2">
      <c r="A163" s="44"/>
      <c r="B163" s="37" t="s">
        <v>30</v>
      </c>
      <c r="C163" s="8" t="s">
        <v>8</v>
      </c>
      <c r="D163" s="8"/>
      <c r="E163" s="48"/>
      <c r="F163" s="32">
        <f t="shared" si="6"/>
        <v>0</v>
      </c>
    </row>
    <row r="164" spans="1:6" s="9" customFormat="1" ht="14.25" customHeight="1" x14ac:dyDescent="0.2">
      <c r="A164" s="44"/>
      <c r="B164" s="37"/>
      <c r="C164" s="8"/>
      <c r="D164" s="8"/>
      <c r="E164" s="48"/>
      <c r="F164" s="32"/>
    </row>
    <row r="165" spans="1:6" s="9" customFormat="1" ht="14.25" customHeight="1" x14ac:dyDescent="0.2">
      <c r="A165" s="44"/>
      <c r="B165" s="37" t="s">
        <v>28</v>
      </c>
      <c r="C165" s="8" t="s">
        <v>8</v>
      </c>
      <c r="D165" s="8"/>
      <c r="E165" s="48"/>
      <c r="F165" s="32">
        <f t="shared" si="6"/>
        <v>0</v>
      </c>
    </row>
    <row r="166" spans="1:6" s="9" customFormat="1" ht="14.25" customHeight="1" x14ac:dyDescent="0.2">
      <c r="A166" s="44"/>
      <c r="B166" s="37"/>
      <c r="C166" s="8"/>
      <c r="D166" s="8"/>
      <c r="E166" s="48"/>
      <c r="F166" s="32"/>
    </row>
    <row r="167" spans="1:6" s="9" customFormat="1" ht="14.25" customHeight="1" x14ac:dyDescent="0.2">
      <c r="A167" s="44"/>
      <c r="B167" s="37" t="s">
        <v>31</v>
      </c>
      <c r="C167" s="8" t="s">
        <v>8</v>
      </c>
      <c r="D167" s="8"/>
      <c r="E167" s="48"/>
      <c r="F167" s="32">
        <f t="shared" si="6"/>
        <v>0</v>
      </c>
    </row>
    <row r="168" spans="1:6" s="9" customFormat="1" ht="14.25" customHeight="1" x14ac:dyDescent="0.2">
      <c r="A168" s="44"/>
      <c r="B168" s="37"/>
      <c r="C168" s="8"/>
      <c r="D168" s="8"/>
      <c r="E168" s="48"/>
      <c r="F168" s="32"/>
    </row>
    <row r="169" spans="1:6" s="9" customFormat="1" ht="14.25" customHeight="1" thickBot="1" x14ac:dyDescent="0.25">
      <c r="A169" s="44"/>
      <c r="B169" s="129" t="s">
        <v>16</v>
      </c>
      <c r="C169" s="130"/>
      <c r="D169" s="130"/>
      <c r="E169" s="75"/>
      <c r="F169" s="84">
        <f>SUM(F153:F168)</f>
        <v>0</v>
      </c>
    </row>
    <row r="170" spans="1:6" s="9" customFormat="1" ht="14.25" customHeight="1" thickBot="1" x14ac:dyDescent="0.25">
      <c r="A170" s="90" t="s">
        <v>130</v>
      </c>
      <c r="B170" s="80" t="s">
        <v>111</v>
      </c>
      <c r="C170" s="81"/>
      <c r="D170" s="81"/>
      <c r="E170" s="82"/>
      <c r="F170" s="83"/>
    </row>
    <row r="171" spans="1:6" s="9" customFormat="1" ht="14.25" customHeight="1" x14ac:dyDescent="0.2">
      <c r="A171" s="44"/>
      <c r="B171" s="85" t="s">
        <v>71</v>
      </c>
      <c r="C171" s="77" t="s">
        <v>7</v>
      </c>
      <c r="D171" s="77"/>
      <c r="E171" s="78"/>
      <c r="F171" s="86">
        <f>E171*D171</f>
        <v>0</v>
      </c>
    </row>
    <row r="172" spans="1:6" s="9" customFormat="1" ht="14.25" customHeight="1" x14ac:dyDescent="0.2">
      <c r="A172" s="44"/>
      <c r="B172" s="38" t="s">
        <v>25</v>
      </c>
      <c r="C172" s="8"/>
      <c r="D172" s="8"/>
      <c r="E172" s="48"/>
      <c r="F172" s="32"/>
    </row>
    <row r="173" spans="1:6" s="9" customFormat="1" ht="14.25" customHeight="1" x14ac:dyDescent="0.2">
      <c r="A173" s="44"/>
      <c r="B173" s="38" t="s">
        <v>26</v>
      </c>
      <c r="C173" s="8"/>
      <c r="D173" s="8"/>
      <c r="E173" s="48"/>
      <c r="F173" s="32"/>
    </row>
    <row r="174" spans="1:6" s="9" customFormat="1" ht="14.25" customHeight="1" x14ac:dyDescent="0.2">
      <c r="A174" s="44"/>
      <c r="B174" s="37"/>
      <c r="C174" s="8"/>
      <c r="D174" s="8"/>
      <c r="E174" s="48"/>
      <c r="F174" s="32"/>
    </row>
    <row r="175" spans="1:6" s="9" customFormat="1" ht="14.25" customHeight="1" x14ac:dyDescent="0.2">
      <c r="A175" s="44"/>
      <c r="B175" s="37" t="s">
        <v>112</v>
      </c>
      <c r="C175" s="8" t="s">
        <v>7</v>
      </c>
      <c r="D175" s="8"/>
      <c r="E175" s="48"/>
      <c r="F175" s="32">
        <f t="shared" ref="F175" si="7">E175*D175</f>
        <v>0</v>
      </c>
    </row>
    <row r="176" spans="1:6" s="9" customFormat="1" ht="14.25" customHeight="1" x14ac:dyDescent="0.2">
      <c r="A176" s="44"/>
      <c r="B176" s="38" t="s">
        <v>25</v>
      </c>
      <c r="C176" s="8"/>
      <c r="D176" s="8"/>
      <c r="E176" s="48"/>
      <c r="F176" s="32"/>
    </row>
    <row r="177" spans="1:6" s="9" customFormat="1" ht="14.25" customHeight="1" x14ac:dyDescent="0.2">
      <c r="A177" s="44"/>
      <c r="B177" s="38" t="s">
        <v>26</v>
      </c>
      <c r="C177" s="8"/>
      <c r="D177" s="8"/>
      <c r="E177" s="48"/>
      <c r="F177" s="32"/>
    </row>
    <row r="178" spans="1:6" s="9" customFormat="1" ht="14.25" customHeight="1" x14ac:dyDescent="0.2">
      <c r="A178" s="44"/>
      <c r="B178" s="39"/>
      <c r="C178" s="8"/>
      <c r="D178" s="8"/>
      <c r="E178" s="48"/>
      <c r="F178" s="32"/>
    </row>
    <row r="179" spans="1:6" s="9" customFormat="1" ht="14.25" customHeight="1" x14ac:dyDescent="0.2">
      <c r="A179" s="44"/>
      <c r="B179" s="37" t="s">
        <v>29</v>
      </c>
      <c r="C179" s="8" t="s">
        <v>7</v>
      </c>
      <c r="D179" s="8"/>
      <c r="E179" s="48"/>
      <c r="F179" s="32">
        <f t="shared" ref="F179" si="8">E179*D179</f>
        <v>0</v>
      </c>
    </row>
    <row r="180" spans="1:6" s="9" customFormat="1" ht="14.25" customHeight="1" x14ac:dyDescent="0.2">
      <c r="A180" s="44"/>
      <c r="B180" s="39"/>
      <c r="C180" s="8"/>
      <c r="D180" s="8"/>
      <c r="E180" s="48"/>
      <c r="F180" s="32"/>
    </row>
    <row r="181" spans="1:6" s="9" customFormat="1" ht="14.25" customHeight="1" x14ac:dyDescent="0.2">
      <c r="A181" s="44"/>
      <c r="B181" s="37" t="s">
        <v>30</v>
      </c>
      <c r="C181" s="8" t="s">
        <v>8</v>
      </c>
      <c r="D181" s="8"/>
      <c r="E181" s="48"/>
      <c r="F181" s="32">
        <f t="shared" ref="F181" si="9">E181*D181</f>
        <v>0</v>
      </c>
    </row>
    <row r="182" spans="1:6" s="9" customFormat="1" ht="14.25" customHeight="1" x14ac:dyDescent="0.2">
      <c r="A182" s="44"/>
      <c r="B182" s="37"/>
      <c r="C182" s="8"/>
      <c r="D182" s="8"/>
      <c r="E182" s="48"/>
      <c r="F182" s="32"/>
    </row>
    <row r="183" spans="1:6" s="9" customFormat="1" ht="14.25" customHeight="1" x14ac:dyDescent="0.2">
      <c r="A183" s="44"/>
      <c r="B183" s="37" t="s">
        <v>28</v>
      </c>
      <c r="C183" s="8" t="s">
        <v>8</v>
      </c>
      <c r="D183" s="8"/>
      <c r="E183" s="48"/>
      <c r="F183" s="32">
        <f t="shared" ref="F183" si="10">E183*D183</f>
        <v>0</v>
      </c>
    </row>
    <row r="184" spans="1:6" s="9" customFormat="1" ht="14.25" customHeight="1" x14ac:dyDescent="0.2">
      <c r="A184" s="44"/>
      <c r="B184" s="37"/>
      <c r="C184" s="8"/>
      <c r="D184" s="8"/>
      <c r="E184" s="48"/>
      <c r="F184" s="32"/>
    </row>
    <row r="185" spans="1:6" s="9" customFormat="1" ht="14.25" customHeight="1" x14ac:dyDescent="0.2">
      <c r="A185" s="44"/>
      <c r="B185" s="37" t="s">
        <v>31</v>
      </c>
      <c r="C185" s="8" t="s">
        <v>8</v>
      </c>
      <c r="D185" s="8"/>
      <c r="E185" s="48"/>
      <c r="F185" s="32">
        <f t="shared" ref="F185" si="11">E185*D185</f>
        <v>0</v>
      </c>
    </row>
    <row r="186" spans="1:6" s="9" customFormat="1" ht="14.25" customHeight="1" x14ac:dyDescent="0.2">
      <c r="A186" s="44"/>
      <c r="B186" s="37"/>
      <c r="C186" s="8"/>
      <c r="D186" s="8"/>
      <c r="E186" s="48"/>
      <c r="F186" s="32"/>
    </row>
    <row r="187" spans="1:6" s="9" customFormat="1" ht="14.25" customHeight="1" thickBot="1" x14ac:dyDescent="0.25">
      <c r="A187" s="44"/>
      <c r="B187" s="99" t="s">
        <v>16</v>
      </c>
      <c r="C187" s="100"/>
      <c r="D187" s="100"/>
      <c r="E187" s="49"/>
      <c r="F187" s="54">
        <f>SUM(F171:F186)</f>
        <v>0</v>
      </c>
    </row>
    <row r="188" spans="1:6" s="9" customFormat="1" ht="14.25" customHeight="1" thickBot="1" x14ac:dyDescent="0.25">
      <c r="A188" s="90" t="s">
        <v>131</v>
      </c>
      <c r="B188" s="80" t="s">
        <v>132</v>
      </c>
      <c r="C188" s="81"/>
      <c r="D188" s="81"/>
      <c r="E188" s="82"/>
      <c r="F188" s="83"/>
    </row>
    <row r="189" spans="1:6" s="9" customFormat="1" ht="14.25" customHeight="1" x14ac:dyDescent="0.2">
      <c r="A189" s="44"/>
      <c r="B189" s="85"/>
      <c r="C189" s="77"/>
      <c r="D189" s="77"/>
      <c r="E189" s="78"/>
      <c r="F189" s="86"/>
    </row>
    <row r="190" spans="1:6" s="9" customFormat="1" ht="14.25" customHeight="1" x14ac:dyDescent="0.2">
      <c r="A190" s="44"/>
      <c r="B190" s="38" t="s">
        <v>132</v>
      </c>
      <c r="C190" s="8" t="s">
        <v>7</v>
      </c>
      <c r="D190" s="8"/>
      <c r="E190" s="48"/>
      <c r="F190" s="32"/>
    </row>
    <row r="191" spans="1:6" s="9" customFormat="1" ht="14.25" customHeight="1" x14ac:dyDescent="0.2">
      <c r="A191" s="44"/>
      <c r="B191" s="38"/>
      <c r="C191" s="8"/>
      <c r="D191" s="8"/>
      <c r="E191" s="48"/>
      <c r="F191" s="32"/>
    </row>
    <row r="192" spans="1:6" s="9" customFormat="1" ht="14.25" customHeight="1" thickBot="1" x14ac:dyDescent="0.25">
      <c r="A192" s="44"/>
      <c r="B192" s="99" t="s">
        <v>16</v>
      </c>
      <c r="C192" s="100"/>
      <c r="D192" s="100"/>
      <c r="E192" s="49"/>
      <c r="F192" s="54">
        <f>SUM(F189:F191)</f>
        <v>0</v>
      </c>
    </row>
    <row r="193" spans="1:6" s="9" customFormat="1" ht="14.25" customHeight="1" thickBot="1" x14ac:dyDescent="0.25">
      <c r="A193" s="90" t="s">
        <v>133</v>
      </c>
      <c r="B193" s="80" t="s">
        <v>110</v>
      </c>
      <c r="C193" s="81"/>
      <c r="D193" s="81"/>
      <c r="E193" s="82"/>
      <c r="F193" s="83"/>
    </row>
    <row r="194" spans="1:6" s="9" customFormat="1" ht="14.25" customHeight="1" x14ac:dyDescent="0.25">
      <c r="A194" s="44"/>
      <c r="B194" s="76"/>
      <c r="C194" s="77"/>
      <c r="D194" s="77"/>
      <c r="E194" s="78"/>
      <c r="F194" s="79"/>
    </row>
    <row r="195" spans="1:6" s="9" customFormat="1" ht="14.25" customHeight="1" x14ac:dyDescent="0.2">
      <c r="A195" s="44"/>
      <c r="B195" s="37" t="s">
        <v>18</v>
      </c>
      <c r="C195" s="8" t="s">
        <v>14</v>
      </c>
      <c r="D195" s="8"/>
      <c r="E195" s="48"/>
      <c r="F195" s="26"/>
    </row>
    <row r="196" spans="1:6" s="9" customFormat="1" ht="14.25" customHeight="1" x14ac:dyDescent="0.25">
      <c r="A196" s="44"/>
      <c r="B196" s="40"/>
      <c r="C196" s="8"/>
      <c r="D196" s="8"/>
      <c r="E196" s="48"/>
      <c r="F196" s="26"/>
    </row>
    <row r="197" spans="1:6" s="1" customFormat="1" ht="17.25" customHeight="1" x14ac:dyDescent="0.2">
      <c r="A197" s="44"/>
      <c r="B197" s="37" t="s">
        <v>72</v>
      </c>
      <c r="C197" s="8" t="s">
        <v>6</v>
      </c>
      <c r="D197" s="8"/>
      <c r="E197" s="48"/>
      <c r="F197" s="32">
        <f>E197*D197</f>
        <v>0</v>
      </c>
    </row>
    <row r="198" spans="1:6" s="1" customFormat="1" ht="17.25" customHeight="1" x14ac:dyDescent="0.2">
      <c r="A198" s="44"/>
      <c r="B198" s="41" t="s">
        <v>32</v>
      </c>
      <c r="C198" s="8"/>
      <c r="D198" s="8"/>
      <c r="E198" s="48"/>
      <c r="F198" s="32"/>
    </row>
    <row r="199" spans="1:6" s="1" customFormat="1" ht="17.25" customHeight="1" x14ac:dyDescent="0.2">
      <c r="A199" s="44"/>
      <c r="B199" s="41" t="s">
        <v>33</v>
      </c>
      <c r="C199" s="8"/>
      <c r="D199" s="8"/>
      <c r="E199" s="48"/>
      <c r="F199" s="32"/>
    </row>
    <row r="200" spans="1:6" s="1" customFormat="1" ht="17.25" customHeight="1" x14ac:dyDescent="0.2">
      <c r="A200" s="44"/>
      <c r="B200" s="41" t="s">
        <v>34</v>
      </c>
      <c r="C200" s="8"/>
      <c r="D200" s="8"/>
      <c r="E200" s="48"/>
      <c r="F200" s="32"/>
    </row>
    <row r="201" spans="1:6" s="1" customFormat="1" ht="17.25" customHeight="1" x14ac:dyDescent="0.2">
      <c r="A201" s="44"/>
      <c r="B201" s="37"/>
      <c r="C201" s="8"/>
      <c r="D201" s="8"/>
      <c r="E201" s="48"/>
      <c r="F201" s="32"/>
    </row>
    <row r="202" spans="1:6" s="1" customFormat="1" ht="17.25" customHeight="1" x14ac:dyDescent="0.2">
      <c r="A202" s="44"/>
      <c r="B202" s="37" t="s">
        <v>73</v>
      </c>
      <c r="C202" s="8" t="s">
        <v>6</v>
      </c>
      <c r="D202" s="8"/>
      <c r="E202" s="48"/>
      <c r="F202" s="32">
        <f t="shared" ref="F202:F237" si="12">E202*D202</f>
        <v>0</v>
      </c>
    </row>
    <row r="203" spans="1:6" s="1" customFormat="1" ht="17.25" customHeight="1" x14ac:dyDescent="0.2">
      <c r="A203" s="44"/>
      <c r="B203" s="41" t="s">
        <v>32</v>
      </c>
      <c r="C203" s="8"/>
      <c r="D203" s="8"/>
      <c r="E203" s="48"/>
      <c r="F203" s="32"/>
    </row>
    <row r="204" spans="1:6" s="1" customFormat="1" ht="17.25" customHeight="1" x14ac:dyDescent="0.2">
      <c r="A204" s="44"/>
      <c r="B204" s="41" t="s">
        <v>33</v>
      </c>
      <c r="C204" s="8"/>
      <c r="D204" s="8"/>
      <c r="E204" s="48"/>
      <c r="F204" s="32"/>
    </row>
    <row r="205" spans="1:6" s="1" customFormat="1" ht="17.25" customHeight="1" x14ac:dyDescent="0.2">
      <c r="A205" s="44"/>
      <c r="B205" s="41" t="s">
        <v>34</v>
      </c>
      <c r="C205" s="8"/>
      <c r="D205" s="8"/>
      <c r="E205" s="48"/>
      <c r="F205" s="32"/>
    </row>
    <row r="206" spans="1:6" s="1" customFormat="1" ht="17.25" customHeight="1" x14ac:dyDescent="0.2">
      <c r="A206" s="44"/>
      <c r="B206" s="37"/>
      <c r="C206" s="8"/>
      <c r="D206" s="8"/>
      <c r="E206" s="48"/>
      <c r="F206" s="32"/>
    </row>
    <row r="207" spans="1:6" s="1" customFormat="1" ht="17.25" customHeight="1" x14ac:dyDescent="0.2">
      <c r="A207" s="44"/>
      <c r="B207" s="37" t="s">
        <v>74</v>
      </c>
      <c r="C207" s="8" t="s">
        <v>6</v>
      </c>
      <c r="D207" s="8"/>
      <c r="E207" s="48"/>
      <c r="F207" s="32">
        <f t="shared" si="12"/>
        <v>0</v>
      </c>
    </row>
    <row r="208" spans="1:6" s="1" customFormat="1" ht="17.25" customHeight="1" x14ac:dyDescent="0.2">
      <c r="A208" s="44"/>
      <c r="B208" s="41" t="s">
        <v>32</v>
      </c>
      <c r="C208" s="8"/>
      <c r="D208" s="8"/>
      <c r="E208" s="48"/>
      <c r="F208" s="32"/>
    </row>
    <row r="209" spans="1:6" s="1" customFormat="1" ht="17.25" customHeight="1" x14ac:dyDescent="0.2">
      <c r="A209" s="44"/>
      <c r="B209" s="41" t="s">
        <v>33</v>
      </c>
      <c r="C209" s="8"/>
      <c r="D209" s="8"/>
      <c r="E209" s="48"/>
      <c r="F209" s="32"/>
    </row>
    <row r="210" spans="1:6" s="1" customFormat="1" ht="17.25" customHeight="1" x14ac:dyDescent="0.2">
      <c r="A210" s="44"/>
      <c r="B210" s="41" t="s">
        <v>34</v>
      </c>
      <c r="C210" s="8"/>
      <c r="D210" s="8"/>
      <c r="E210" s="48"/>
      <c r="F210" s="32"/>
    </row>
    <row r="211" spans="1:6" s="1" customFormat="1" ht="17.25" customHeight="1" x14ac:dyDescent="0.2">
      <c r="A211" s="44"/>
      <c r="B211" s="37"/>
      <c r="C211" s="8"/>
      <c r="D211" s="8"/>
      <c r="E211" s="48"/>
      <c r="F211" s="32"/>
    </row>
    <row r="212" spans="1:6" s="1" customFormat="1" ht="17.25" customHeight="1" x14ac:dyDescent="0.2">
      <c r="A212" s="44"/>
      <c r="B212" s="37" t="s">
        <v>75</v>
      </c>
      <c r="C212" s="8" t="s">
        <v>6</v>
      </c>
      <c r="D212" s="8"/>
      <c r="E212" s="48"/>
      <c r="F212" s="32">
        <f t="shared" si="12"/>
        <v>0</v>
      </c>
    </row>
    <row r="213" spans="1:6" s="1" customFormat="1" ht="17.25" customHeight="1" x14ac:dyDescent="0.2">
      <c r="A213" s="44"/>
      <c r="B213" s="41" t="s">
        <v>32</v>
      </c>
      <c r="C213" s="8"/>
      <c r="D213" s="8"/>
      <c r="E213" s="48"/>
      <c r="F213" s="32"/>
    </row>
    <row r="214" spans="1:6" s="1" customFormat="1" ht="17.25" customHeight="1" x14ac:dyDescent="0.2">
      <c r="A214" s="44"/>
      <c r="B214" s="41" t="s">
        <v>33</v>
      </c>
      <c r="C214" s="8"/>
      <c r="D214" s="8"/>
      <c r="E214" s="48"/>
      <c r="F214" s="32"/>
    </row>
    <row r="215" spans="1:6" s="1" customFormat="1" ht="17.25" customHeight="1" x14ac:dyDescent="0.2">
      <c r="A215" s="44"/>
      <c r="B215" s="41" t="s">
        <v>34</v>
      </c>
      <c r="C215" s="8"/>
      <c r="D215" s="8"/>
      <c r="E215" s="48"/>
      <c r="F215" s="32"/>
    </row>
    <row r="216" spans="1:6" s="1" customFormat="1" ht="17.25" customHeight="1" x14ac:dyDescent="0.2">
      <c r="A216" s="44"/>
      <c r="B216" s="41"/>
      <c r="C216" s="8"/>
      <c r="D216" s="8"/>
      <c r="E216" s="48"/>
      <c r="F216" s="32"/>
    </row>
    <row r="217" spans="1:6" s="1" customFormat="1" ht="17.25" customHeight="1" x14ac:dyDescent="0.2">
      <c r="A217" s="44"/>
      <c r="B217" s="37" t="s">
        <v>76</v>
      </c>
      <c r="C217" s="8" t="s">
        <v>6</v>
      </c>
      <c r="D217" s="8"/>
      <c r="E217" s="48"/>
      <c r="F217" s="32">
        <f t="shared" si="12"/>
        <v>0</v>
      </c>
    </row>
    <row r="218" spans="1:6" s="1" customFormat="1" ht="17.25" customHeight="1" x14ac:dyDescent="0.2">
      <c r="A218" s="44"/>
      <c r="B218" s="41" t="s">
        <v>32</v>
      </c>
      <c r="C218" s="8"/>
      <c r="D218" s="8"/>
      <c r="E218" s="48"/>
      <c r="F218" s="32"/>
    </row>
    <row r="219" spans="1:6" s="1" customFormat="1" ht="17.25" customHeight="1" x14ac:dyDescent="0.2">
      <c r="A219" s="44"/>
      <c r="B219" s="41" t="s">
        <v>33</v>
      </c>
      <c r="C219" s="8"/>
      <c r="D219" s="8"/>
      <c r="E219" s="48"/>
      <c r="F219" s="32"/>
    </row>
    <row r="220" spans="1:6" s="1" customFormat="1" ht="17.25" customHeight="1" x14ac:dyDescent="0.2">
      <c r="A220" s="44"/>
      <c r="B220" s="41" t="s">
        <v>34</v>
      </c>
      <c r="C220" s="8"/>
      <c r="D220" s="8"/>
      <c r="E220" s="48"/>
      <c r="F220" s="32"/>
    </row>
    <row r="221" spans="1:6" s="1" customFormat="1" ht="17.25" customHeight="1" x14ac:dyDescent="0.2">
      <c r="A221" s="44"/>
      <c r="B221" s="37"/>
      <c r="C221" s="8"/>
      <c r="D221" s="8"/>
      <c r="E221" s="48"/>
      <c r="F221" s="32"/>
    </row>
    <row r="222" spans="1:6" s="1" customFormat="1" ht="17.25" customHeight="1" x14ac:dyDescent="0.2">
      <c r="A222" s="44"/>
      <c r="B222" s="37" t="s">
        <v>77</v>
      </c>
      <c r="C222" s="8" t="s">
        <v>6</v>
      </c>
      <c r="D222" s="8"/>
      <c r="E222" s="48"/>
      <c r="F222" s="32">
        <f t="shared" si="12"/>
        <v>0</v>
      </c>
    </row>
    <row r="223" spans="1:6" s="1" customFormat="1" ht="17.25" customHeight="1" x14ac:dyDescent="0.2">
      <c r="A223" s="44"/>
      <c r="B223" s="41" t="s">
        <v>32</v>
      </c>
      <c r="C223" s="8"/>
      <c r="D223" s="8"/>
      <c r="E223" s="48"/>
      <c r="F223" s="32"/>
    </row>
    <row r="224" spans="1:6" s="1" customFormat="1" ht="17.25" customHeight="1" x14ac:dyDescent="0.2">
      <c r="A224" s="44"/>
      <c r="B224" s="41" t="s">
        <v>33</v>
      </c>
      <c r="C224" s="8"/>
      <c r="D224" s="8"/>
      <c r="E224" s="48"/>
      <c r="F224" s="32"/>
    </row>
    <row r="225" spans="1:6" s="1" customFormat="1" ht="17.25" customHeight="1" x14ac:dyDescent="0.2">
      <c r="A225" s="44"/>
      <c r="B225" s="41" t="s">
        <v>34</v>
      </c>
      <c r="C225" s="8"/>
      <c r="D225" s="8"/>
      <c r="E225" s="48"/>
      <c r="F225" s="32"/>
    </row>
    <row r="226" spans="1:6" s="1" customFormat="1" ht="17.25" customHeight="1" x14ac:dyDescent="0.2">
      <c r="A226" s="44"/>
      <c r="B226" s="41"/>
      <c r="C226" s="8"/>
      <c r="D226" s="8"/>
      <c r="E226" s="48"/>
      <c r="F226" s="32"/>
    </row>
    <row r="227" spans="1:6" s="1" customFormat="1" ht="17.25" customHeight="1" x14ac:dyDescent="0.2">
      <c r="A227" s="44"/>
      <c r="B227" s="37" t="s">
        <v>139</v>
      </c>
      <c r="C227" s="8" t="s">
        <v>6</v>
      </c>
      <c r="D227" s="8"/>
      <c r="E227" s="48"/>
      <c r="F227" s="32">
        <f>E227*D227</f>
        <v>0</v>
      </c>
    </row>
    <row r="228" spans="1:6" s="1" customFormat="1" ht="17.25" customHeight="1" x14ac:dyDescent="0.2">
      <c r="A228" s="44"/>
      <c r="B228" s="41" t="s">
        <v>32</v>
      </c>
      <c r="C228" s="8"/>
      <c r="D228" s="8"/>
      <c r="E228" s="48"/>
      <c r="F228" s="32"/>
    </row>
    <row r="229" spans="1:6" s="1" customFormat="1" ht="17.25" customHeight="1" x14ac:dyDescent="0.2">
      <c r="A229" s="44"/>
      <c r="B229" s="41" t="s">
        <v>33</v>
      </c>
      <c r="C229" s="8"/>
      <c r="D229" s="8"/>
      <c r="E229" s="48"/>
      <c r="F229" s="32"/>
    </row>
    <row r="230" spans="1:6" s="1" customFormat="1" ht="17.25" customHeight="1" x14ac:dyDescent="0.2">
      <c r="A230" s="44"/>
      <c r="B230" s="41" t="s">
        <v>34</v>
      </c>
      <c r="C230" s="8"/>
      <c r="D230" s="8"/>
      <c r="E230" s="48"/>
      <c r="F230" s="32"/>
    </row>
    <row r="231" spans="1:6" s="1" customFormat="1" ht="17.25" customHeight="1" x14ac:dyDescent="0.2">
      <c r="A231" s="44"/>
      <c r="B231" s="41"/>
      <c r="C231" s="8"/>
      <c r="D231" s="8"/>
      <c r="E231" s="48"/>
      <c r="F231" s="32"/>
    </row>
    <row r="232" spans="1:6" s="1" customFormat="1" ht="17.25" customHeight="1" x14ac:dyDescent="0.2">
      <c r="A232" s="44"/>
      <c r="B232" s="37" t="s">
        <v>140</v>
      </c>
      <c r="C232" s="8" t="s">
        <v>6</v>
      </c>
      <c r="D232" s="8"/>
      <c r="E232" s="48"/>
      <c r="F232" s="32">
        <f t="shared" ref="F232" si="13">E232*D232</f>
        <v>0</v>
      </c>
    </row>
    <row r="233" spans="1:6" s="1" customFormat="1" ht="17.25" customHeight="1" x14ac:dyDescent="0.2">
      <c r="A233" s="44"/>
      <c r="B233" s="41" t="s">
        <v>32</v>
      </c>
      <c r="C233" s="8"/>
      <c r="D233" s="8"/>
      <c r="E233" s="48"/>
      <c r="F233" s="32"/>
    </row>
    <row r="234" spans="1:6" s="1" customFormat="1" ht="17.25" customHeight="1" x14ac:dyDescent="0.2">
      <c r="A234" s="44"/>
      <c r="B234" s="41" t="s">
        <v>33</v>
      </c>
      <c r="C234" s="8"/>
      <c r="D234" s="8"/>
      <c r="E234" s="48"/>
      <c r="F234" s="32"/>
    </row>
    <row r="235" spans="1:6" s="1" customFormat="1" ht="17.25" customHeight="1" x14ac:dyDescent="0.2">
      <c r="A235" s="44"/>
      <c r="B235" s="41" t="s">
        <v>34</v>
      </c>
      <c r="C235" s="8"/>
      <c r="D235" s="8"/>
      <c r="E235" s="48"/>
      <c r="F235" s="32"/>
    </row>
    <row r="236" spans="1:6" s="1" customFormat="1" ht="17.25" customHeight="1" x14ac:dyDescent="0.2">
      <c r="A236" s="44"/>
      <c r="B236" s="41"/>
      <c r="C236" s="8"/>
      <c r="D236" s="8"/>
      <c r="E236" s="48"/>
      <c r="F236" s="32"/>
    </row>
    <row r="237" spans="1:6" s="1" customFormat="1" ht="17.25" customHeight="1" x14ac:dyDescent="0.2">
      <c r="A237" s="44"/>
      <c r="B237" s="37" t="s">
        <v>134</v>
      </c>
      <c r="C237" s="8" t="s">
        <v>6</v>
      </c>
      <c r="D237" s="8"/>
      <c r="E237" s="48"/>
      <c r="F237" s="32">
        <f t="shared" si="12"/>
        <v>0</v>
      </c>
    </row>
    <row r="238" spans="1:6" s="1" customFormat="1" ht="17.25" customHeight="1" x14ac:dyDescent="0.2">
      <c r="A238" s="44"/>
      <c r="B238" s="41" t="s">
        <v>32</v>
      </c>
      <c r="C238" s="8"/>
      <c r="D238" s="8"/>
      <c r="E238" s="48"/>
      <c r="F238" s="32"/>
    </row>
    <row r="239" spans="1:6" s="1" customFormat="1" ht="17.25" customHeight="1" x14ac:dyDescent="0.2">
      <c r="A239" s="44"/>
      <c r="B239" s="41" t="s">
        <v>33</v>
      </c>
      <c r="C239" s="8"/>
      <c r="D239" s="8"/>
      <c r="E239" s="48"/>
      <c r="F239" s="32"/>
    </row>
    <row r="240" spans="1:6" s="1" customFormat="1" ht="17.25" customHeight="1" x14ac:dyDescent="0.2">
      <c r="A240" s="44"/>
      <c r="B240" s="41" t="s">
        <v>34</v>
      </c>
      <c r="C240" s="8"/>
      <c r="D240" s="8"/>
      <c r="E240" s="48"/>
      <c r="F240" s="32"/>
    </row>
    <row r="241" spans="1:13" s="1" customFormat="1" ht="17.25" customHeight="1" x14ac:dyDescent="0.2">
      <c r="A241" s="44"/>
      <c r="B241" s="41"/>
      <c r="C241" s="8"/>
      <c r="D241" s="8"/>
      <c r="E241" s="48"/>
      <c r="F241" s="32"/>
    </row>
    <row r="242" spans="1:13" s="9" customFormat="1" ht="14.25" customHeight="1" x14ac:dyDescent="0.2">
      <c r="A242" s="44"/>
      <c r="B242" s="41" t="s">
        <v>105</v>
      </c>
      <c r="C242" s="8" t="s">
        <v>8</v>
      </c>
      <c r="D242" s="8"/>
      <c r="E242" s="48"/>
      <c r="F242" s="32">
        <f>E242*D242</f>
        <v>0</v>
      </c>
      <c r="K242" s="2"/>
      <c r="L242" s="2"/>
      <c r="M242" s="2"/>
    </row>
    <row r="243" spans="1:13" s="9" customFormat="1" ht="14.25" customHeight="1" x14ac:dyDescent="0.2">
      <c r="A243" s="44"/>
      <c r="B243" s="33"/>
      <c r="C243" s="8"/>
      <c r="D243" s="8"/>
      <c r="E243" s="48"/>
      <c r="F243" s="32"/>
      <c r="K243" s="2"/>
      <c r="L243" s="2"/>
      <c r="M243" s="2"/>
    </row>
    <row r="244" spans="1:13" s="1" customFormat="1" ht="17.25" customHeight="1" x14ac:dyDescent="0.2">
      <c r="A244" s="44"/>
      <c r="B244" s="41" t="s">
        <v>95</v>
      </c>
      <c r="C244" s="8" t="s">
        <v>8</v>
      </c>
      <c r="D244" s="8"/>
      <c r="E244" s="48"/>
      <c r="F244" s="32">
        <f>E244*D244</f>
        <v>0</v>
      </c>
    </row>
    <row r="245" spans="1:13" s="1" customFormat="1" ht="17.25" customHeight="1" x14ac:dyDescent="0.2">
      <c r="A245" s="44"/>
      <c r="B245" s="41"/>
      <c r="C245" s="8"/>
      <c r="D245" s="8"/>
      <c r="E245" s="48"/>
      <c r="F245" s="32"/>
    </row>
    <row r="246" spans="1:13" s="1" customFormat="1" ht="17.25" customHeight="1" x14ac:dyDescent="0.2">
      <c r="A246" s="44"/>
      <c r="B246" s="37" t="s">
        <v>50</v>
      </c>
      <c r="C246" s="8" t="s">
        <v>7</v>
      </c>
      <c r="D246" s="8"/>
      <c r="E246" s="48"/>
      <c r="F246" s="32">
        <f>E246*D246</f>
        <v>0</v>
      </c>
    </row>
    <row r="247" spans="1:13" s="1" customFormat="1" ht="17.25" customHeight="1" x14ac:dyDescent="0.2">
      <c r="A247" s="44"/>
      <c r="B247" s="37"/>
      <c r="C247" s="8"/>
      <c r="D247" s="8"/>
      <c r="E247" s="48"/>
      <c r="F247" s="32"/>
    </row>
    <row r="248" spans="1:13" s="1" customFormat="1" ht="17.25" customHeight="1" x14ac:dyDescent="0.2">
      <c r="A248" s="44"/>
      <c r="B248" s="37" t="s">
        <v>36</v>
      </c>
      <c r="C248" s="8" t="s">
        <v>7</v>
      </c>
      <c r="D248" s="8"/>
      <c r="E248" s="48"/>
      <c r="F248" s="32">
        <f>E248*D248</f>
        <v>0</v>
      </c>
    </row>
    <row r="249" spans="1:13" s="1" customFormat="1" ht="17.25" customHeight="1" x14ac:dyDescent="0.2">
      <c r="A249" s="44"/>
      <c r="B249" s="41"/>
      <c r="C249" s="8"/>
      <c r="D249" s="8"/>
      <c r="E249" s="48"/>
      <c r="F249" s="32"/>
    </row>
    <row r="250" spans="1:13" s="1" customFormat="1" ht="17.25" customHeight="1" x14ac:dyDescent="0.2">
      <c r="A250" s="44"/>
      <c r="B250" s="37" t="s">
        <v>46</v>
      </c>
      <c r="C250" s="8" t="s">
        <v>7</v>
      </c>
      <c r="D250" s="8"/>
      <c r="E250" s="48"/>
      <c r="F250" s="32">
        <f t="shared" ref="F250" si="14">E250*D250</f>
        <v>0</v>
      </c>
    </row>
    <row r="251" spans="1:13" s="1" customFormat="1" ht="17.25" customHeight="1" x14ac:dyDescent="0.2">
      <c r="A251" s="44"/>
      <c r="B251" s="41" t="s">
        <v>32</v>
      </c>
      <c r="C251" s="8"/>
      <c r="D251" s="8"/>
      <c r="E251" s="48"/>
      <c r="F251" s="32"/>
    </row>
    <row r="252" spans="1:13" s="1" customFormat="1" ht="17.25" customHeight="1" x14ac:dyDescent="0.2">
      <c r="A252" s="44"/>
      <c r="B252" s="41" t="s">
        <v>33</v>
      </c>
      <c r="C252" s="8"/>
      <c r="D252" s="8"/>
      <c r="E252" s="48"/>
      <c r="F252" s="32"/>
    </row>
    <row r="253" spans="1:13" s="1" customFormat="1" ht="17.25" customHeight="1" x14ac:dyDescent="0.2">
      <c r="A253" s="44"/>
      <c r="B253" s="41" t="s">
        <v>34</v>
      </c>
      <c r="C253" s="8"/>
      <c r="D253" s="8"/>
      <c r="E253" s="48"/>
      <c r="F253" s="32"/>
    </row>
    <row r="254" spans="1:13" s="1" customFormat="1" ht="17.25" customHeight="1" x14ac:dyDescent="0.2">
      <c r="A254" s="44"/>
      <c r="B254" s="37"/>
      <c r="C254" s="8"/>
      <c r="D254" s="8"/>
      <c r="E254" s="48"/>
      <c r="F254" s="32"/>
    </row>
    <row r="255" spans="1:13" s="1" customFormat="1" ht="17.25" customHeight="1" x14ac:dyDescent="0.2">
      <c r="A255" s="44"/>
      <c r="B255" s="37" t="s">
        <v>47</v>
      </c>
      <c r="C255" s="8" t="s">
        <v>7</v>
      </c>
      <c r="D255" s="8"/>
      <c r="E255" s="48"/>
      <c r="F255" s="32">
        <f>E255*D255</f>
        <v>0</v>
      </c>
    </row>
    <row r="256" spans="1:13" s="1" customFormat="1" ht="17.25" customHeight="1" x14ac:dyDescent="0.2">
      <c r="A256" s="44"/>
      <c r="B256" s="37" t="s">
        <v>48</v>
      </c>
      <c r="C256" s="8" t="s">
        <v>7</v>
      </c>
      <c r="D256" s="8"/>
      <c r="E256" s="48"/>
      <c r="F256" s="32">
        <f>E256*D256</f>
        <v>0</v>
      </c>
    </row>
    <row r="257" spans="1:6" s="1" customFormat="1" ht="17.25" customHeight="1" x14ac:dyDescent="0.2">
      <c r="A257" s="44"/>
      <c r="B257" s="37"/>
      <c r="C257" s="8"/>
      <c r="D257" s="8"/>
      <c r="E257" s="48"/>
      <c r="F257" s="32"/>
    </row>
    <row r="258" spans="1:6" s="1" customFormat="1" ht="17.25" customHeight="1" x14ac:dyDescent="0.2">
      <c r="A258" s="44"/>
      <c r="B258" s="37" t="s">
        <v>37</v>
      </c>
      <c r="C258" s="8"/>
      <c r="D258" s="8"/>
      <c r="E258" s="48"/>
      <c r="F258" s="32"/>
    </row>
    <row r="259" spans="1:6" s="1" customFormat="1" ht="17.25" customHeight="1" x14ac:dyDescent="0.2">
      <c r="A259" s="44"/>
      <c r="B259" s="37"/>
      <c r="C259" s="8"/>
      <c r="D259" s="8"/>
      <c r="E259" s="48"/>
      <c r="F259" s="32"/>
    </row>
    <row r="260" spans="1:6" s="1" customFormat="1" ht="11.4" customHeight="1" x14ac:dyDescent="0.2">
      <c r="A260" s="44"/>
      <c r="B260" s="37" t="s">
        <v>78</v>
      </c>
      <c r="C260" s="8" t="s">
        <v>6</v>
      </c>
      <c r="D260" s="8"/>
      <c r="E260" s="48"/>
      <c r="F260" s="32">
        <f>E260*D260</f>
        <v>0</v>
      </c>
    </row>
    <row r="261" spans="1:6" s="1" customFormat="1" ht="12.75" customHeight="1" x14ac:dyDescent="0.2">
      <c r="A261" s="44"/>
      <c r="B261" s="41" t="s">
        <v>19</v>
      </c>
      <c r="C261" s="8"/>
      <c r="D261" s="8"/>
      <c r="E261" s="48"/>
      <c r="F261" s="32"/>
    </row>
    <row r="262" spans="1:6" s="1" customFormat="1" ht="12.75" customHeight="1" x14ac:dyDescent="0.2">
      <c r="A262" s="44"/>
      <c r="B262" s="41" t="s">
        <v>20</v>
      </c>
      <c r="C262" s="8"/>
      <c r="D262" s="8"/>
      <c r="E262" s="48"/>
      <c r="F262" s="32"/>
    </row>
    <row r="263" spans="1:6" s="1" customFormat="1" ht="16.5" customHeight="1" x14ac:dyDescent="0.2">
      <c r="A263" s="44"/>
      <c r="B263" s="31"/>
      <c r="C263" s="8"/>
      <c r="D263" s="8"/>
      <c r="E263" s="48"/>
      <c r="F263" s="32"/>
    </row>
    <row r="264" spans="1:6" s="1" customFormat="1" ht="16.5" customHeight="1" x14ac:dyDescent="0.2">
      <c r="A264" s="44"/>
      <c r="B264" s="37" t="s">
        <v>69</v>
      </c>
      <c r="C264" s="8" t="s">
        <v>6</v>
      </c>
      <c r="D264" s="8"/>
      <c r="E264" s="48"/>
      <c r="F264" s="32"/>
    </row>
    <row r="265" spans="1:6" s="1" customFormat="1" ht="17.25" customHeight="1" x14ac:dyDescent="0.2">
      <c r="A265" s="44"/>
      <c r="B265" s="41" t="s">
        <v>19</v>
      </c>
      <c r="C265" s="8"/>
      <c r="D265" s="8"/>
      <c r="E265" s="48"/>
      <c r="F265" s="32"/>
    </row>
    <row r="266" spans="1:6" s="1" customFormat="1" ht="17.25" customHeight="1" x14ac:dyDescent="0.2">
      <c r="A266" s="44"/>
      <c r="B266" s="41" t="s">
        <v>26</v>
      </c>
      <c r="C266" s="8"/>
      <c r="D266" s="8"/>
      <c r="E266" s="48"/>
      <c r="F266" s="32"/>
    </row>
    <row r="267" spans="1:6" s="1" customFormat="1" ht="17.25" customHeight="1" x14ac:dyDescent="0.2">
      <c r="A267" s="44"/>
      <c r="B267" s="31"/>
      <c r="C267" s="8"/>
      <c r="D267" s="8"/>
      <c r="E267" s="48"/>
      <c r="F267" s="32"/>
    </row>
    <row r="268" spans="1:6" s="1" customFormat="1" ht="27.6" customHeight="1" x14ac:dyDescent="0.2">
      <c r="A268" s="44"/>
      <c r="B268" s="37" t="s">
        <v>61</v>
      </c>
      <c r="C268" s="8" t="s">
        <v>6</v>
      </c>
      <c r="D268" s="8"/>
      <c r="E268" s="48"/>
      <c r="F268" s="32">
        <f>E268*D268</f>
        <v>0</v>
      </c>
    </row>
    <row r="269" spans="1:6" s="9" customFormat="1" ht="15" customHeight="1" x14ac:dyDescent="0.2">
      <c r="A269" s="44"/>
      <c r="B269" s="41" t="s">
        <v>25</v>
      </c>
      <c r="C269" s="8"/>
      <c r="D269" s="8"/>
      <c r="E269" s="48"/>
      <c r="F269" s="32"/>
    </row>
    <row r="270" spans="1:6" s="11" customFormat="1" ht="12.75" customHeight="1" x14ac:dyDescent="0.2">
      <c r="A270" s="44"/>
      <c r="B270" s="41" t="s">
        <v>26</v>
      </c>
      <c r="C270" s="8"/>
      <c r="D270" s="8"/>
      <c r="E270" s="48"/>
      <c r="F270" s="32"/>
    </row>
    <row r="271" spans="1:6" s="11" customFormat="1" ht="12.75" customHeight="1" x14ac:dyDescent="0.2">
      <c r="A271" s="44"/>
      <c r="B271" s="41"/>
      <c r="C271" s="8"/>
      <c r="D271" s="8"/>
      <c r="E271" s="48"/>
      <c r="F271" s="32"/>
    </row>
    <row r="272" spans="1:6" s="9" customFormat="1" ht="15" customHeight="1" x14ac:dyDescent="0.2">
      <c r="A272" s="44"/>
      <c r="B272" s="37" t="s">
        <v>38</v>
      </c>
      <c r="C272" s="8" t="s">
        <v>14</v>
      </c>
      <c r="D272" s="8"/>
      <c r="E272" s="48"/>
      <c r="F272" s="32"/>
    </row>
    <row r="273" spans="1:16" s="9" customFormat="1" ht="15" customHeight="1" x14ac:dyDescent="0.2">
      <c r="A273" s="44"/>
      <c r="B273" s="37"/>
      <c r="C273" s="8"/>
      <c r="D273" s="8"/>
      <c r="E273" s="48"/>
      <c r="F273" s="32"/>
    </row>
    <row r="274" spans="1:16" s="9" customFormat="1" ht="15" customHeight="1" x14ac:dyDescent="0.2">
      <c r="A274" s="44"/>
      <c r="B274" s="37" t="s">
        <v>62</v>
      </c>
      <c r="C274" s="8" t="s">
        <v>7</v>
      </c>
      <c r="D274" s="8"/>
      <c r="E274" s="48"/>
      <c r="F274" s="32">
        <f t="shared" ref="F274" si="15">E274*D274</f>
        <v>0</v>
      </c>
    </row>
    <row r="275" spans="1:16" s="9" customFormat="1" ht="15" customHeight="1" x14ac:dyDescent="0.2">
      <c r="A275" s="44"/>
      <c r="B275" s="37"/>
      <c r="C275" s="8"/>
      <c r="D275" s="8"/>
      <c r="E275" s="48"/>
      <c r="F275" s="32"/>
    </row>
    <row r="276" spans="1:16" s="1" customFormat="1" ht="17.25" customHeight="1" x14ac:dyDescent="0.2">
      <c r="A276" s="44"/>
      <c r="B276" s="37" t="s">
        <v>39</v>
      </c>
      <c r="C276" s="8" t="s">
        <v>8</v>
      </c>
      <c r="D276" s="8"/>
      <c r="E276" s="48"/>
      <c r="F276" s="32">
        <f>E276*D276</f>
        <v>0</v>
      </c>
      <c r="L276" s="9"/>
      <c r="M276" s="9"/>
      <c r="N276" s="9"/>
      <c r="O276" s="9"/>
      <c r="P276" s="9"/>
    </row>
    <row r="277" spans="1:16" s="9" customFormat="1" ht="15" customHeight="1" x14ac:dyDescent="0.2">
      <c r="A277" s="44"/>
      <c r="B277" s="37"/>
      <c r="C277" s="8"/>
      <c r="D277" s="8"/>
      <c r="E277" s="48"/>
      <c r="F277" s="32"/>
    </row>
    <row r="278" spans="1:16" s="9" customFormat="1" ht="15" customHeight="1" x14ac:dyDescent="0.2">
      <c r="A278" s="44"/>
      <c r="B278" s="37" t="s">
        <v>40</v>
      </c>
      <c r="C278" s="8" t="s">
        <v>8</v>
      </c>
      <c r="D278" s="8"/>
      <c r="E278" s="48"/>
      <c r="F278" s="32">
        <f t="shared" ref="F278" si="16">E278*D278</f>
        <v>0</v>
      </c>
    </row>
    <row r="279" spans="1:16" s="9" customFormat="1" ht="15" customHeight="1" x14ac:dyDescent="0.2">
      <c r="A279" s="44"/>
      <c r="B279" s="37"/>
      <c r="C279" s="8"/>
      <c r="D279" s="8"/>
      <c r="E279" s="48"/>
      <c r="F279" s="32"/>
    </row>
    <row r="280" spans="1:16" s="9" customFormat="1" ht="15" customHeight="1" x14ac:dyDescent="0.2">
      <c r="A280" s="44"/>
      <c r="B280" s="37" t="s">
        <v>135</v>
      </c>
      <c r="C280" s="8" t="s">
        <v>8</v>
      </c>
      <c r="D280" s="8"/>
      <c r="E280" s="48"/>
      <c r="F280" s="32">
        <f>D280*E280</f>
        <v>0</v>
      </c>
    </row>
    <row r="281" spans="1:16" s="9" customFormat="1" ht="15" customHeight="1" x14ac:dyDescent="0.2">
      <c r="A281" s="44"/>
      <c r="B281" s="37"/>
      <c r="C281" s="8"/>
      <c r="D281" s="8"/>
      <c r="E281" s="48"/>
      <c r="F281" s="32"/>
    </row>
    <row r="282" spans="1:16" s="9" customFormat="1" ht="14.25" customHeight="1" x14ac:dyDescent="0.2">
      <c r="A282" s="44"/>
      <c r="B282" s="99" t="s">
        <v>16</v>
      </c>
      <c r="C282" s="100"/>
      <c r="D282" s="100"/>
      <c r="E282" s="49"/>
      <c r="F282" s="55">
        <f>SUM(F197:F280)</f>
        <v>0</v>
      </c>
    </row>
    <row r="283" spans="1:16" s="9" customFormat="1" ht="14.25" customHeight="1" x14ac:dyDescent="0.2">
      <c r="A283" s="44" t="s">
        <v>137</v>
      </c>
      <c r="B283" s="25" t="s">
        <v>113</v>
      </c>
      <c r="C283" s="8"/>
      <c r="D283" s="8"/>
      <c r="E283" s="48"/>
      <c r="F283" s="26"/>
    </row>
    <row r="284" spans="1:16" s="9" customFormat="1" ht="14.25" customHeight="1" x14ac:dyDescent="0.2">
      <c r="A284" s="44"/>
      <c r="B284" s="25"/>
      <c r="C284" s="8"/>
      <c r="D284" s="8"/>
      <c r="E284" s="48"/>
      <c r="F284" s="26"/>
    </row>
    <row r="285" spans="1:16" s="9" customFormat="1" ht="14.25" customHeight="1" x14ac:dyDescent="0.2">
      <c r="A285" s="44"/>
      <c r="B285" s="25" t="s">
        <v>81</v>
      </c>
      <c r="C285" s="8"/>
      <c r="D285" s="8"/>
      <c r="E285" s="48"/>
      <c r="F285" s="26"/>
    </row>
    <row r="286" spans="1:16" customFormat="1" ht="16.95" customHeight="1" x14ac:dyDescent="0.2">
      <c r="A286" s="44"/>
      <c r="B286" s="37" t="s">
        <v>51</v>
      </c>
      <c r="C286" s="8" t="s">
        <v>7</v>
      </c>
      <c r="D286" s="8"/>
      <c r="E286" s="48"/>
      <c r="F286" s="32">
        <f>E286*D286</f>
        <v>0</v>
      </c>
    </row>
    <row r="287" spans="1:16" customFormat="1" ht="16.95" customHeight="1" x14ac:dyDescent="0.2">
      <c r="A287" s="44"/>
      <c r="B287" s="37" t="s">
        <v>136</v>
      </c>
      <c r="C287" s="8"/>
      <c r="D287" s="8"/>
      <c r="E287" s="48"/>
      <c r="F287" s="32"/>
    </row>
    <row r="288" spans="1:16" customFormat="1" ht="16.95" customHeight="1" x14ac:dyDescent="0.2">
      <c r="A288" s="44"/>
      <c r="B288" s="37"/>
      <c r="C288" s="8"/>
      <c r="D288" s="8"/>
      <c r="E288" s="48"/>
      <c r="F288" s="32"/>
    </row>
    <row r="289" spans="1:6" customFormat="1" ht="16.95" customHeight="1" x14ac:dyDescent="0.2">
      <c r="A289" s="44"/>
      <c r="B289" s="37" t="s">
        <v>10</v>
      </c>
      <c r="C289" s="8" t="s">
        <v>8</v>
      </c>
      <c r="D289" s="8"/>
      <c r="E289" s="50"/>
      <c r="F289" s="32">
        <f t="shared" ref="F289:F325" si="17">E289*D289</f>
        <v>0</v>
      </c>
    </row>
    <row r="290" spans="1:6" customFormat="1" ht="11.4" x14ac:dyDescent="0.2">
      <c r="A290" s="44"/>
      <c r="B290" s="37"/>
      <c r="C290" s="8"/>
      <c r="D290" s="8"/>
      <c r="E290" s="48"/>
      <c r="F290" s="32"/>
    </row>
    <row r="291" spans="1:6" customFormat="1" ht="11.4" x14ac:dyDescent="0.2">
      <c r="A291" s="44"/>
      <c r="B291" s="37" t="s">
        <v>79</v>
      </c>
      <c r="C291" s="8" t="s">
        <v>8</v>
      </c>
      <c r="D291" s="8"/>
      <c r="E291" s="48"/>
      <c r="F291" s="32">
        <f t="shared" si="17"/>
        <v>0</v>
      </c>
    </row>
    <row r="292" spans="1:6" customFormat="1" ht="11.4" x14ac:dyDescent="0.2">
      <c r="A292" s="44"/>
      <c r="B292" s="37"/>
      <c r="C292" s="8"/>
      <c r="D292" s="8"/>
      <c r="E292" s="48"/>
      <c r="F292" s="32"/>
    </row>
    <row r="293" spans="1:6" customFormat="1" ht="11.4" x14ac:dyDescent="0.2">
      <c r="A293" s="44"/>
      <c r="B293" s="37" t="s">
        <v>52</v>
      </c>
      <c r="C293" s="8" t="s">
        <v>7</v>
      </c>
      <c r="D293" s="8"/>
      <c r="E293" s="48"/>
      <c r="F293" s="32">
        <f t="shared" si="17"/>
        <v>0</v>
      </c>
    </row>
    <row r="294" spans="1:6" customFormat="1" ht="11.4" x14ac:dyDescent="0.2">
      <c r="A294" s="44"/>
      <c r="B294" s="37" t="s">
        <v>54</v>
      </c>
      <c r="C294" s="8"/>
      <c r="D294" s="8"/>
      <c r="E294" s="48"/>
      <c r="F294" s="32"/>
    </row>
    <row r="295" spans="1:6" customFormat="1" ht="11.4" x14ac:dyDescent="0.2">
      <c r="A295" s="44"/>
      <c r="B295" s="37" t="s">
        <v>53</v>
      </c>
      <c r="C295" s="8"/>
      <c r="D295" s="8"/>
      <c r="E295" s="48"/>
      <c r="F295" s="32"/>
    </row>
    <row r="296" spans="1:6" customFormat="1" ht="11.4" x14ac:dyDescent="0.2">
      <c r="A296" s="44"/>
      <c r="B296" s="37"/>
      <c r="C296" s="8"/>
      <c r="D296" s="8"/>
      <c r="E296" s="48"/>
      <c r="F296" s="32"/>
    </row>
    <row r="297" spans="1:6" customFormat="1" ht="11.4" x14ac:dyDescent="0.2">
      <c r="A297" s="44"/>
      <c r="B297" s="37" t="s">
        <v>55</v>
      </c>
      <c r="C297" s="8" t="s">
        <v>7</v>
      </c>
      <c r="D297" s="8"/>
      <c r="E297" s="48"/>
      <c r="F297" s="32">
        <f t="shared" si="17"/>
        <v>0</v>
      </c>
    </row>
    <row r="298" spans="1:6" customFormat="1" ht="11.4" x14ac:dyDescent="0.2">
      <c r="A298" s="44"/>
      <c r="B298" s="37" t="s">
        <v>54</v>
      </c>
      <c r="C298" s="8"/>
      <c r="D298" s="8"/>
      <c r="E298" s="48"/>
      <c r="F298" s="32"/>
    </row>
    <row r="299" spans="1:6" customFormat="1" ht="11.4" x14ac:dyDescent="0.2">
      <c r="A299" s="44"/>
      <c r="B299" s="37" t="s">
        <v>56</v>
      </c>
      <c r="C299" s="8"/>
      <c r="D299" s="8"/>
      <c r="E299" s="48"/>
      <c r="F299" s="32"/>
    </row>
    <row r="300" spans="1:6" customFormat="1" ht="11.4" x14ac:dyDescent="0.2">
      <c r="A300" s="44"/>
      <c r="B300" s="37"/>
      <c r="C300" s="8"/>
      <c r="D300" s="8"/>
      <c r="E300" s="48"/>
      <c r="F300" s="32"/>
    </row>
    <row r="301" spans="1:6" customFormat="1" ht="11.4" x14ac:dyDescent="0.2">
      <c r="A301" s="44"/>
      <c r="B301" s="37" t="s">
        <v>57</v>
      </c>
      <c r="C301" s="8" t="s">
        <v>8</v>
      </c>
      <c r="D301" s="8"/>
      <c r="E301" s="48"/>
      <c r="F301" s="32">
        <f t="shared" si="17"/>
        <v>0</v>
      </c>
    </row>
    <row r="302" spans="1:6" customFormat="1" ht="11.4" x14ac:dyDescent="0.2">
      <c r="A302" s="44"/>
      <c r="B302" s="37"/>
      <c r="C302" s="8"/>
      <c r="D302" s="8"/>
      <c r="E302" s="48"/>
      <c r="F302" s="32"/>
    </row>
    <row r="303" spans="1:6" s="1" customFormat="1" ht="17.25" customHeight="1" x14ac:dyDescent="0.2">
      <c r="A303" s="44"/>
      <c r="B303" s="37" t="s">
        <v>35</v>
      </c>
      <c r="C303" s="8" t="s">
        <v>9</v>
      </c>
      <c r="D303" s="8"/>
      <c r="E303" s="48"/>
      <c r="F303" s="32">
        <f t="shared" si="17"/>
        <v>0</v>
      </c>
    </row>
    <row r="304" spans="1:6" s="1" customFormat="1" ht="17.25" customHeight="1" x14ac:dyDescent="0.2">
      <c r="A304" s="44"/>
      <c r="B304" s="37"/>
      <c r="C304" s="8"/>
      <c r="D304" s="8"/>
      <c r="E304" s="48"/>
      <c r="F304" s="32"/>
    </row>
    <row r="305" spans="1:6" s="1" customFormat="1" ht="17.25" customHeight="1" x14ac:dyDescent="0.2">
      <c r="A305" s="44"/>
      <c r="B305" s="37" t="s">
        <v>58</v>
      </c>
      <c r="C305" s="8" t="s">
        <v>8</v>
      </c>
      <c r="D305" s="8"/>
      <c r="E305" s="48"/>
      <c r="F305" s="32">
        <f t="shared" si="17"/>
        <v>0</v>
      </c>
    </row>
    <row r="306" spans="1:6" s="1" customFormat="1" ht="17.25" customHeight="1" x14ac:dyDescent="0.2">
      <c r="A306" s="44"/>
      <c r="B306" s="37" t="s">
        <v>59</v>
      </c>
      <c r="C306" s="8"/>
      <c r="D306" s="8"/>
      <c r="E306" s="48"/>
      <c r="F306" s="32"/>
    </row>
    <row r="307" spans="1:6" s="1" customFormat="1" ht="12" customHeight="1" x14ac:dyDescent="0.2">
      <c r="A307" s="44"/>
      <c r="B307" s="37" t="s">
        <v>60</v>
      </c>
      <c r="C307" s="8"/>
      <c r="D307" s="8"/>
      <c r="E307" s="48"/>
      <c r="F307" s="32"/>
    </row>
    <row r="308" spans="1:6" s="1" customFormat="1" ht="17.25" customHeight="1" x14ac:dyDescent="0.2">
      <c r="A308" s="44"/>
      <c r="B308" s="37"/>
      <c r="C308" s="8"/>
      <c r="D308" s="8"/>
      <c r="E308" s="48"/>
      <c r="F308" s="32"/>
    </row>
    <row r="309" spans="1:6" s="9" customFormat="1" ht="14.25" customHeight="1" x14ac:dyDescent="0.2">
      <c r="A309" s="44"/>
      <c r="B309" s="25" t="s">
        <v>82</v>
      </c>
      <c r="C309" s="8"/>
      <c r="D309" s="8"/>
      <c r="E309" s="48"/>
      <c r="F309" s="32"/>
    </row>
    <row r="310" spans="1:6" s="9" customFormat="1" ht="14.25" customHeight="1" x14ac:dyDescent="0.2">
      <c r="A310" s="44"/>
      <c r="B310" s="25"/>
      <c r="C310" s="8"/>
      <c r="D310" s="8"/>
      <c r="E310" s="48"/>
      <c r="F310" s="32"/>
    </row>
    <row r="311" spans="1:6" customFormat="1" ht="16.95" customHeight="1" x14ac:dyDescent="0.2">
      <c r="A311" s="44"/>
      <c r="B311" s="37" t="s">
        <v>51</v>
      </c>
      <c r="C311" s="8" t="s">
        <v>7</v>
      </c>
      <c r="D311" s="8"/>
      <c r="E311" s="48"/>
      <c r="F311" s="32">
        <f t="shared" si="17"/>
        <v>0</v>
      </c>
    </row>
    <row r="312" spans="1:6" customFormat="1" ht="16.95" customHeight="1" x14ac:dyDescent="0.2">
      <c r="A312" s="44"/>
      <c r="B312" s="37" t="s">
        <v>32</v>
      </c>
      <c r="C312" s="8" t="s">
        <v>8</v>
      </c>
      <c r="D312" s="8"/>
      <c r="E312" s="48"/>
      <c r="F312" s="32"/>
    </row>
    <row r="313" spans="1:6" customFormat="1" ht="16.95" customHeight="1" x14ac:dyDescent="0.2">
      <c r="A313" s="44"/>
      <c r="B313" s="37" t="s">
        <v>10</v>
      </c>
      <c r="C313" s="8" t="s">
        <v>8</v>
      </c>
      <c r="D313" s="8"/>
      <c r="E313" s="50"/>
      <c r="F313" s="32">
        <f t="shared" si="17"/>
        <v>0</v>
      </c>
    </row>
    <row r="314" spans="1:6" customFormat="1" ht="11.4" x14ac:dyDescent="0.2">
      <c r="A314" s="44"/>
      <c r="B314" s="37"/>
      <c r="C314" s="8"/>
      <c r="D314" s="8"/>
      <c r="E314" s="48"/>
      <c r="F314" s="32"/>
    </row>
    <row r="315" spans="1:6" customFormat="1" ht="11.4" x14ac:dyDescent="0.2">
      <c r="A315" s="44"/>
      <c r="B315" s="37" t="s">
        <v>79</v>
      </c>
      <c r="C315" s="8" t="s">
        <v>8</v>
      </c>
      <c r="D315" s="8"/>
      <c r="E315" s="48"/>
      <c r="F315" s="32">
        <f t="shared" si="17"/>
        <v>0</v>
      </c>
    </row>
    <row r="316" spans="1:6" customFormat="1" ht="11.4" x14ac:dyDescent="0.2">
      <c r="A316" s="44"/>
      <c r="B316" s="37"/>
      <c r="C316" s="8"/>
      <c r="D316" s="8"/>
      <c r="E316" s="48"/>
      <c r="F316" s="32"/>
    </row>
    <row r="317" spans="1:6" customFormat="1" ht="11.4" x14ac:dyDescent="0.2">
      <c r="A317" s="44"/>
      <c r="B317" s="37" t="s">
        <v>52</v>
      </c>
      <c r="C317" s="8" t="s">
        <v>7</v>
      </c>
      <c r="D317" s="8"/>
      <c r="E317" s="48"/>
      <c r="F317" s="32">
        <f t="shared" si="17"/>
        <v>0</v>
      </c>
    </row>
    <row r="318" spans="1:6" customFormat="1" ht="11.4" x14ac:dyDescent="0.2">
      <c r="A318" s="44"/>
      <c r="B318" s="37" t="s">
        <v>54</v>
      </c>
      <c r="C318" s="8"/>
      <c r="D318" s="8"/>
      <c r="E318" s="48"/>
      <c r="F318" s="32"/>
    </row>
    <row r="319" spans="1:6" customFormat="1" ht="11.4" x14ac:dyDescent="0.2">
      <c r="A319" s="44"/>
      <c r="B319" s="37" t="s">
        <v>53</v>
      </c>
      <c r="C319" s="8"/>
      <c r="D319" s="8"/>
      <c r="E319" s="48"/>
      <c r="F319" s="32"/>
    </row>
    <row r="320" spans="1:6" customFormat="1" ht="11.4" x14ac:dyDescent="0.2">
      <c r="A320" s="44"/>
      <c r="B320" s="37"/>
      <c r="C320" s="8"/>
      <c r="D320" s="8"/>
      <c r="E320" s="48"/>
      <c r="F320" s="32"/>
    </row>
    <row r="321" spans="1:6" customFormat="1" ht="11.4" x14ac:dyDescent="0.2">
      <c r="A321" s="44"/>
      <c r="B321" s="37" t="s">
        <v>57</v>
      </c>
      <c r="C321" s="8" t="s">
        <v>8</v>
      </c>
      <c r="D321" s="8"/>
      <c r="E321" s="48"/>
      <c r="F321" s="32">
        <f t="shared" si="17"/>
        <v>0</v>
      </c>
    </row>
    <row r="322" spans="1:6" customFormat="1" ht="11.4" x14ac:dyDescent="0.2">
      <c r="A322" s="44"/>
      <c r="B322" s="37"/>
      <c r="C322" s="8"/>
      <c r="D322" s="8"/>
      <c r="E322" s="48"/>
      <c r="F322" s="32"/>
    </row>
    <row r="323" spans="1:6" s="1" customFormat="1" ht="17.25" customHeight="1" x14ac:dyDescent="0.2">
      <c r="A323" s="44"/>
      <c r="B323" s="37" t="s">
        <v>35</v>
      </c>
      <c r="C323" s="8" t="s">
        <v>9</v>
      </c>
      <c r="D323" s="8"/>
      <c r="E323" s="48"/>
      <c r="F323" s="32">
        <f t="shared" si="17"/>
        <v>0</v>
      </c>
    </row>
    <row r="324" spans="1:6" s="1" customFormat="1" ht="17.25" customHeight="1" x14ac:dyDescent="0.2">
      <c r="A324" s="44"/>
      <c r="B324" s="37"/>
      <c r="C324" s="8"/>
      <c r="D324" s="8"/>
      <c r="E324" s="48"/>
      <c r="F324" s="32"/>
    </row>
    <row r="325" spans="1:6" s="1" customFormat="1" ht="17.25" customHeight="1" x14ac:dyDescent="0.2">
      <c r="A325" s="44"/>
      <c r="B325" s="37" t="s">
        <v>58</v>
      </c>
      <c r="C325" s="8" t="s">
        <v>7</v>
      </c>
      <c r="D325" s="8"/>
      <c r="E325" s="48"/>
      <c r="F325" s="32">
        <f t="shared" si="17"/>
        <v>0</v>
      </c>
    </row>
    <row r="326" spans="1:6" s="1" customFormat="1" ht="17.25" customHeight="1" x14ac:dyDescent="0.2">
      <c r="A326" s="44"/>
      <c r="B326" s="37" t="s">
        <v>59</v>
      </c>
      <c r="C326" s="8"/>
      <c r="D326" s="8"/>
      <c r="E326" s="48"/>
      <c r="F326" s="32"/>
    </row>
    <row r="327" spans="1:6" s="1" customFormat="1" ht="17.25" customHeight="1" x14ac:dyDescent="0.2">
      <c r="A327" s="44"/>
      <c r="B327" s="37" t="s">
        <v>60</v>
      </c>
      <c r="C327" s="8"/>
      <c r="D327" s="8"/>
      <c r="E327" s="48"/>
      <c r="F327" s="32"/>
    </row>
    <row r="328" spans="1:6" s="1" customFormat="1" ht="17.25" customHeight="1" x14ac:dyDescent="0.2">
      <c r="A328" s="44"/>
      <c r="B328" s="37"/>
      <c r="C328" s="8"/>
      <c r="D328" s="8"/>
      <c r="E328" s="48"/>
      <c r="F328" s="32"/>
    </row>
    <row r="329" spans="1:6" s="9" customFormat="1" ht="14.25" customHeight="1" x14ac:dyDescent="0.2">
      <c r="A329" s="44"/>
      <c r="B329" s="99" t="s">
        <v>16</v>
      </c>
      <c r="C329" s="100"/>
      <c r="D329" s="100"/>
      <c r="E329" s="49"/>
      <c r="F329" s="54">
        <f>SUM(F283:F328)</f>
        <v>0</v>
      </c>
    </row>
    <row r="330" spans="1:6" s="1" customFormat="1" ht="17.25" customHeight="1" x14ac:dyDescent="0.2">
      <c r="A330" s="44"/>
      <c r="B330" s="37"/>
      <c r="C330" s="8"/>
      <c r="D330" s="8"/>
      <c r="E330" s="48"/>
      <c r="F330" s="32"/>
    </row>
    <row r="331" spans="1:6" s="9" customFormat="1" ht="14.25" customHeight="1" x14ac:dyDescent="0.2">
      <c r="A331" s="44" t="s">
        <v>138</v>
      </c>
      <c r="B331" s="25" t="s">
        <v>11</v>
      </c>
      <c r="C331" s="32"/>
      <c r="D331" s="8"/>
      <c r="E331" s="48"/>
      <c r="F331" s="26"/>
    </row>
    <row r="332" spans="1:6" s="9" customFormat="1" ht="14.25" customHeight="1" x14ac:dyDescent="0.25">
      <c r="A332" s="44"/>
      <c r="B332" s="40"/>
      <c r="C332" s="8"/>
      <c r="D332" s="8"/>
      <c r="E332" s="48"/>
      <c r="F332" s="26"/>
    </row>
    <row r="333" spans="1:6" s="9" customFormat="1" ht="14.25" customHeight="1" x14ac:dyDescent="0.2">
      <c r="A333" s="44"/>
      <c r="B333" s="37" t="s">
        <v>80</v>
      </c>
      <c r="C333" s="8" t="s">
        <v>8</v>
      </c>
      <c r="D333" s="8"/>
      <c r="E333" s="48"/>
      <c r="F333" s="32">
        <f>E333*D333</f>
        <v>0</v>
      </c>
    </row>
    <row r="334" spans="1:6" s="9" customFormat="1" ht="14.25" customHeight="1" x14ac:dyDescent="0.2">
      <c r="A334" s="44"/>
      <c r="B334" s="37"/>
      <c r="C334" s="8"/>
      <c r="D334" s="8"/>
      <c r="E334" s="48"/>
      <c r="F334" s="32"/>
    </row>
    <row r="335" spans="1:6" s="9" customFormat="1" ht="14.25" customHeight="1" x14ac:dyDescent="0.2">
      <c r="A335" s="44"/>
      <c r="B335" s="37" t="s">
        <v>41</v>
      </c>
      <c r="C335" s="8" t="s">
        <v>8</v>
      </c>
      <c r="D335" s="8"/>
      <c r="E335" s="48"/>
      <c r="F335" s="32">
        <f t="shared" ref="F335" si="18">E335*D335</f>
        <v>0</v>
      </c>
    </row>
    <row r="336" spans="1:6" s="9" customFormat="1" ht="14.25" customHeight="1" x14ac:dyDescent="0.2">
      <c r="A336" s="44"/>
      <c r="B336" s="37"/>
      <c r="C336" s="8"/>
      <c r="D336" s="8"/>
      <c r="E336" s="48"/>
      <c r="F336" s="26"/>
    </row>
    <row r="337" spans="1:6" s="9" customFormat="1" ht="14.25" customHeight="1" x14ac:dyDescent="0.2">
      <c r="A337" s="44"/>
      <c r="B337" s="28" t="s">
        <v>114</v>
      </c>
      <c r="C337" s="32" t="s">
        <v>8</v>
      </c>
      <c r="D337" s="8"/>
      <c r="E337" s="48"/>
      <c r="F337" s="26"/>
    </row>
    <row r="338" spans="1:6" s="9" customFormat="1" ht="14.25" customHeight="1" x14ac:dyDescent="0.25">
      <c r="A338" s="44"/>
      <c r="B338" s="40"/>
      <c r="C338" s="8"/>
      <c r="D338" s="8"/>
      <c r="E338" s="48"/>
      <c r="F338" s="26"/>
    </row>
    <row r="339" spans="1:6" s="9" customFormat="1" ht="14.25" customHeight="1" x14ac:dyDescent="0.2">
      <c r="A339" s="44"/>
      <c r="B339" s="37" t="s">
        <v>83</v>
      </c>
      <c r="C339" s="8" t="s">
        <v>8</v>
      </c>
      <c r="D339" s="8"/>
      <c r="E339" s="48"/>
      <c r="F339" s="32">
        <f>E339*D339</f>
        <v>0</v>
      </c>
    </row>
    <row r="340" spans="1:6" s="9" customFormat="1" ht="14.25" customHeight="1" x14ac:dyDescent="0.2">
      <c r="A340" s="44"/>
      <c r="B340" s="37"/>
      <c r="C340" s="8"/>
      <c r="D340" s="8"/>
      <c r="E340" s="48"/>
      <c r="F340" s="32"/>
    </row>
    <row r="341" spans="1:6" s="9" customFormat="1" ht="14.25" customHeight="1" x14ac:dyDescent="0.2">
      <c r="A341" s="44"/>
      <c r="B341" s="99" t="s">
        <v>16</v>
      </c>
      <c r="C341" s="100"/>
      <c r="D341" s="100"/>
      <c r="E341" s="49"/>
      <c r="F341" s="54">
        <f>SUM(F333:F339)</f>
        <v>0</v>
      </c>
    </row>
    <row r="342" spans="1:6" s="9" customFormat="1" ht="14.25" customHeight="1" x14ac:dyDescent="0.2">
      <c r="A342" s="44"/>
      <c r="B342" s="36"/>
      <c r="C342" s="24"/>
      <c r="D342" s="24"/>
      <c r="E342" s="49"/>
      <c r="F342" s="54"/>
    </row>
    <row r="343" spans="1:6" s="9" customFormat="1" ht="14.25" customHeight="1" x14ac:dyDescent="0.2">
      <c r="A343" s="44">
        <v>3</v>
      </c>
      <c r="B343" s="25" t="s">
        <v>85</v>
      </c>
      <c r="C343" s="24"/>
      <c r="D343" s="24"/>
      <c r="E343" s="49"/>
      <c r="F343" s="54"/>
    </row>
    <row r="344" spans="1:6" s="9" customFormat="1" ht="15" customHeight="1" x14ac:dyDescent="0.2">
      <c r="A344" s="44"/>
      <c r="B344" s="36"/>
      <c r="C344" s="24"/>
      <c r="D344" s="24"/>
      <c r="E344" s="49"/>
      <c r="F344" s="54"/>
    </row>
    <row r="345" spans="1:6" s="9" customFormat="1" ht="14.25" customHeight="1" x14ac:dyDescent="0.2">
      <c r="A345" s="44"/>
      <c r="B345" s="37" t="s">
        <v>86</v>
      </c>
      <c r="C345" s="8" t="s">
        <v>49</v>
      </c>
      <c r="D345" s="8"/>
      <c r="E345" s="48"/>
      <c r="F345" s="32"/>
    </row>
    <row r="346" spans="1:6" s="9" customFormat="1" ht="14.25" customHeight="1" x14ac:dyDescent="0.2">
      <c r="A346" s="44"/>
      <c r="B346" s="37"/>
      <c r="C346" s="8"/>
      <c r="D346" s="8"/>
      <c r="E346" s="48"/>
      <c r="F346" s="32"/>
    </row>
    <row r="347" spans="1:6" s="9" customFormat="1" ht="14.25" customHeight="1" x14ac:dyDescent="0.2">
      <c r="A347" s="44"/>
      <c r="B347" s="37" t="s">
        <v>87</v>
      </c>
      <c r="C347" s="8" t="s">
        <v>7</v>
      </c>
      <c r="D347" s="8"/>
      <c r="E347" s="48"/>
      <c r="F347" s="32">
        <f>D347*E347</f>
        <v>0</v>
      </c>
    </row>
    <row r="348" spans="1:6" s="9" customFormat="1" ht="14.25" customHeight="1" x14ac:dyDescent="0.2">
      <c r="A348" s="44"/>
      <c r="B348" s="37"/>
      <c r="C348" s="8"/>
      <c r="D348" s="8"/>
      <c r="E348" s="48"/>
      <c r="F348" s="32"/>
    </row>
    <row r="349" spans="1:6" s="9" customFormat="1" ht="14.25" customHeight="1" x14ac:dyDescent="0.2">
      <c r="A349" s="44"/>
      <c r="B349" s="37" t="s">
        <v>88</v>
      </c>
      <c r="C349" s="8" t="s">
        <v>7</v>
      </c>
      <c r="D349" s="8"/>
      <c r="E349" s="48"/>
      <c r="F349" s="32">
        <f>D349*E349</f>
        <v>0</v>
      </c>
    </row>
    <row r="350" spans="1:6" s="9" customFormat="1" ht="14.25" customHeight="1" x14ac:dyDescent="0.2">
      <c r="A350" s="44"/>
      <c r="B350" s="37"/>
      <c r="C350" s="8"/>
      <c r="D350" s="8"/>
      <c r="E350" s="48"/>
      <c r="F350" s="32"/>
    </row>
    <row r="351" spans="1:6" s="9" customFormat="1" ht="14.25" customHeight="1" x14ac:dyDescent="0.2">
      <c r="A351" s="44"/>
      <c r="B351" s="37" t="s">
        <v>40</v>
      </c>
      <c r="C351" s="8" t="s">
        <v>5</v>
      </c>
      <c r="D351" s="8"/>
      <c r="E351" s="48"/>
      <c r="F351" s="32">
        <f t="shared" ref="F351" si="19">D351*E351</f>
        <v>0</v>
      </c>
    </row>
    <row r="352" spans="1:6" s="9" customFormat="1" ht="14.25" customHeight="1" x14ac:dyDescent="0.2">
      <c r="A352" s="44"/>
      <c r="B352" s="37"/>
      <c r="C352" s="8"/>
      <c r="D352" s="8"/>
      <c r="E352" s="48"/>
      <c r="F352" s="32"/>
    </row>
    <row r="353" spans="1:6" s="9" customFormat="1" ht="14.25" customHeight="1" x14ac:dyDescent="0.2">
      <c r="A353" s="44"/>
      <c r="B353" s="37" t="s">
        <v>89</v>
      </c>
      <c r="C353" s="8" t="s">
        <v>7</v>
      </c>
      <c r="D353" s="8"/>
      <c r="E353" s="48"/>
      <c r="F353" s="32">
        <f t="shared" ref="F353:F358" si="20">D353*E353</f>
        <v>0</v>
      </c>
    </row>
    <row r="354" spans="1:6" s="9" customFormat="1" ht="14.25" customHeight="1" x14ac:dyDescent="0.2">
      <c r="A354" s="44"/>
      <c r="B354" s="37"/>
      <c r="C354" s="8"/>
      <c r="D354" s="8"/>
      <c r="E354" s="48"/>
      <c r="F354" s="32"/>
    </row>
    <row r="355" spans="1:6" s="9" customFormat="1" ht="14.25" customHeight="1" x14ac:dyDescent="0.2">
      <c r="A355" s="44"/>
      <c r="B355" s="37" t="s">
        <v>90</v>
      </c>
      <c r="C355" s="8" t="s">
        <v>7</v>
      </c>
      <c r="D355" s="8"/>
      <c r="E355" s="48"/>
      <c r="F355" s="32">
        <f t="shared" si="20"/>
        <v>0</v>
      </c>
    </row>
    <row r="356" spans="1:6" s="9" customFormat="1" ht="14.25" customHeight="1" x14ac:dyDescent="0.2">
      <c r="A356" s="44"/>
      <c r="B356" s="37" t="s">
        <v>92</v>
      </c>
      <c r="C356" s="8" t="s">
        <v>7</v>
      </c>
      <c r="D356" s="8"/>
      <c r="E356" s="48"/>
      <c r="F356" s="32">
        <f t="shared" si="20"/>
        <v>0</v>
      </c>
    </row>
    <row r="357" spans="1:6" s="9" customFormat="1" ht="14.25" customHeight="1" x14ac:dyDescent="0.2">
      <c r="A357" s="44"/>
      <c r="B357" s="37"/>
      <c r="C357" s="8"/>
      <c r="D357" s="8"/>
      <c r="E357" s="48"/>
      <c r="F357" s="32"/>
    </row>
    <row r="358" spans="1:6" s="9" customFormat="1" ht="14.25" customHeight="1" x14ac:dyDescent="0.2">
      <c r="A358" s="44"/>
      <c r="B358" s="37" t="s">
        <v>91</v>
      </c>
      <c r="C358" s="8" t="s">
        <v>8</v>
      </c>
      <c r="D358" s="8"/>
      <c r="E358" s="48"/>
      <c r="F358" s="32">
        <f t="shared" si="20"/>
        <v>0</v>
      </c>
    </row>
    <row r="359" spans="1:6" s="9" customFormat="1" ht="14.25" customHeight="1" x14ac:dyDescent="0.2">
      <c r="A359" s="44"/>
      <c r="B359" s="37"/>
      <c r="C359" s="8"/>
      <c r="D359" s="8"/>
      <c r="E359" s="48"/>
      <c r="F359" s="32"/>
    </row>
    <row r="360" spans="1:6" s="9" customFormat="1" ht="14.25" customHeight="1" x14ac:dyDescent="0.2">
      <c r="A360" s="44"/>
      <c r="B360" s="99" t="s">
        <v>16</v>
      </c>
      <c r="C360" s="100"/>
      <c r="D360" s="100"/>
      <c r="E360" s="49"/>
      <c r="F360" s="54">
        <f>SUM(F345:F359)</f>
        <v>0</v>
      </c>
    </row>
    <row r="361" spans="1:6" s="9" customFormat="1" ht="14.25" customHeight="1" x14ac:dyDescent="0.2">
      <c r="A361" s="44"/>
      <c r="B361" s="36"/>
      <c r="C361" s="24"/>
      <c r="D361" s="24"/>
      <c r="E361" s="49"/>
      <c r="F361" s="54"/>
    </row>
    <row r="362" spans="1:6" s="9" customFormat="1" ht="14.25" customHeight="1" x14ac:dyDescent="0.2">
      <c r="A362" s="44"/>
      <c r="B362" s="25" t="s">
        <v>101</v>
      </c>
      <c r="C362" s="24"/>
      <c r="D362" s="24"/>
      <c r="E362" s="49"/>
      <c r="F362" s="54"/>
    </row>
    <row r="363" spans="1:6" s="9" customFormat="1" ht="14.25" customHeight="1" x14ac:dyDescent="0.2">
      <c r="A363" s="44"/>
      <c r="B363" s="37" t="s">
        <v>102</v>
      </c>
      <c r="C363" s="8" t="s">
        <v>8</v>
      </c>
      <c r="D363" s="8"/>
      <c r="E363" s="49"/>
      <c r="F363" s="62">
        <f>E363*D363</f>
        <v>0</v>
      </c>
    </row>
    <row r="364" spans="1:6" s="9" customFormat="1" ht="14.25" customHeight="1" x14ac:dyDescent="0.2">
      <c r="A364" s="44"/>
      <c r="B364" s="37" t="s">
        <v>103</v>
      </c>
      <c r="C364" s="8" t="s">
        <v>8</v>
      </c>
      <c r="D364" s="8"/>
      <c r="E364" s="49"/>
      <c r="F364" s="62">
        <f t="shared" ref="F364:F366" si="21">E364*D364</f>
        <v>0</v>
      </c>
    </row>
    <row r="365" spans="1:6" s="9" customFormat="1" ht="14.25" customHeight="1" x14ac:dyDescent="0.2">
      <c r="A365" s="44"/>
      <c r="B365" s="37" t="s">
        <v>104</v>
      </c>
      <c r="C365" s="8" t="s">
        <v>8</v>
      </c>
      <c r="D365" s="8"/>
      <c r="E365" s="49"/>
      <c r="F365" s="62">
        <f t="shared" si="21"/>
        <v>0</v>
      </c>
    </row>
    <row r="366" spans="1:6" s="9" customFormat="1" ht="14.25" customHeight="1" x14ac:dyDescent="0.2">
      <c r="A366" s="44"/>
      <c r="B366" s="37" t="s">
        <v>106</v>
      </c>
      <c r="C366" s="8" t="s">
        <v>8</v>
      </c>
      <c r="D366" s="8"/>
      <c r="E366" s="49"/>
      <c r="F366" s="62">
        <f t="shared" si="21"/>
        <v>0</v>
      </c>
    </row>
    <row r="367" spans="1:6" s="9" customFormat="1" ht="14.25" customHeight="1" x14ac:dyDescent="0.2">
      <c r="A367" s="44"/>
      <c r="B367" s="37"/>
      <c r="C367" s="24"/>
      <c r="D367" s="24"/>
      <c r="E367" s="49"/>
      <c r="F367" s="62"/>
    </row>
    <row r="368" spans="1:6" s="9" customFormat="1" ht="14.25" customHeight="1" x14ac:dyDescent="0.2">
      <c r="A368" s="44"/>
      <c r="B368" s="99" t="s">
        <v>16</v>
      </c>
      <c r="C368" s="100"/>
      <c r="D368" s="100"/>
      <c r="E368" s="49"/>
      <c r="F368" s="54">
        <f>SUM(F363:F366)</f>
        <v>0</v>
      </c>
    </row>
    <row r="369" spans="1:6" s="9" customFormat="1" ht="14.25" customHeight="1" x14ac:dyDescent="0.2">
      <c r="A369" s="44"/>
      <c r="B369" s="37"/>
      <c r="C369" s="24"/>
      <c r="D369" s="24"/>
      <c r="E369" s="49"/>
      <c r="F369" s="54"/>
    </row>
    <row r="370" spans="1:6" s="9" customFormat="1" ht="14.25" customHeight="1" thickBot="1" x14ac:dyDescent="0.25">
      <c r="A370" s="44"/>
      <c r="B370" s="63"/>
      <c r="C370" s="64"/>
      <c r="D370" s="64"/>
      <c r="E370" s="65"/>
      <c r="F370" s="68"/>
    </row>
    <row r="371" spans="1:6" customFormat="1" ht="23.4" customHeight="1" x14ac:dyDescent="0.2">
      <c r="A371" s="45"/>
      <c r="B371" s="12" t="s">
        <v>63</v>
      </c>
      <c r="C371" s="13"/>
      <c r="D371" s="14"/>
      <c r="E371" s="51"/>
      <c r="F371" s="70">
        <f>F282+F169+F151+F329+F341+F360+F368+F9+F192</f>
        <v>0</v>
      </c>
    </row>
    <row r="372" spans="1:6" customFormat="1" ht="13.2" x14ac:dyDescent="0.2">
      <c r="A372" s="46"/>
      <c r="B372" s="15" t="s">
        <v>42</v>
      </c>
      <c r="C372" s="42"/>
      <c r="D372" s="16"/>
      <c r="E372" s="52"/>
      <c r="F372" s="71">
        <f>F371*0.2</f>
        <v>0</v>
      </c>
    </row>
    <row r="373" spans="1:6" customFormat="1" ht="24.6" customHeight="1" thickBot="1" x14ac:dyDescent="0.25">
      <c r="A373" s="47"/>
      <c r="B373" s="17" t="s">
        <v>64</v>
      </c>
      <c r="C373" s="18"/>
      <c r="D373" s="19"/>
      <c r="E373" s="53"/>
      <c r="F373" s="72">
        <f>F371+F372</f>
        <v>0</v>
      </c>
    </row>
    <row r="374" spans="1:6" ht="14.4" thickBot="1" x14ac:dyDescent="0.25">
      <c r="A374" s="66"/>
      <c r="B374" s="104" t="s">
        <v>84</v>
      </c>
      <c r="C374" s="105"/>
      <c r="D374" s="105"/>
      <c r="E374" s="105"/>
      <c r="F374" s="106"/>
    </row>
    <row r="375" spans="1:6" x14ac:dyDescent="0.2">
      <c r="A375" s="91" t="str">
        <f>A6</f>
        <v>2.2</v>
      </c>
      <c r="B375" s="60" t="str">
        <f>B6</f>
        <v>Les travaux de dépose et de consignation</v>
      </c>
      <c r="C375" s="101">
        <f>+F9</f>
        <v>0</v>
      </c>
      <c r="D375" s="102"/>
      <c r="E375" s="102"/>
      <c r="F375" s="103"/>
    </row>
    <row r="376" spans="1:6" x14ac:dyDescent="0.2">
      <c r="A376" s="92" t="str">
        <f>A17</f>
        <v>2.3</v>
      </c>
      <c r="B376" s="60" t="str">
        <f>B17</f>
        <v>Production de chauffage/Froid</v>
      </c>
      <c r="C376" s="101">
        <f>F151</f>
        <v>0</v>
      </c>
      <c r="D376" s="102"/>
      <c r="E376" s="102"/>
      <c r="F376" s="103"/>
    </row>
    <row r="377" spans="1:6" x14ac:dyDescent="0.2">
      <c r="A377" s="92" t="str">
        <f>A152</f>
        <v>2.4</v>
      </c>
      <c r="B377" s="60" t="str">
        <f>B152</f>
        <v xml:space="preserve">Climatisation des locaux informatiques </v>
      </c>
      <c r="C377" s="101">
        <f>F169</f>
        <v>0</v>
      </c>
      <c r="D377" s="102"/>
      <c r="E377" s="102"/>
      <c r="F377" s="103"/>
    </row>
    <row r="378" spans="1:6" x14ac:dyDescent="0.2">
      <c r="A378" s="92" t="str">
        <f>A170</f>
        <v>2.5</v>
      </c>
      <c r="B378" s="60" t="str">
        <f>B170</f>
        <v>Climatisation de la zone cuisine</v>
      </c>
      <c r="C378" s="101">
        <f>F187</f>
        <v>0</v>
      </c>
      <c r="D378" s="102"/>
      <c r="E378" s="102"/>
      <c r="F378" s="103"/>
    </row>
    <row r="379" spans="1:6" x14ac:dyDescent="0.2">
      <c r="A379" s="92" t="str">
        <f>A188</f>
        <v>2.6</v>
      </c>
      <c r="B379" s="60" t="str">
        <f>B188</f>
        <v>Convecteurs électriques</v>
      </c>
      <c r="C379" s="101">
        <f>F192</f>
        <v>0</v>
      </c>
      <c r="D379" s="102"/>
      <c r="E379" s="102"/>
      <c r="F379" s="103"/>
    </row>
    <row r="380" spans="1:6" x14ac:dyDescent="0.2">
      <c r="A380" s="92" t="str">
        <f>A193</f>
        <v>2.7</v>
      </c>
      <c r="B380" s="60" t="str">
        <f>B193</f>
        <v>Traitement de l'air des locaux</v>
      </c>
      <c r="C380" s="101">
        <f>F282</f>
        <v>0</v>
      </c>
      <c r="D380" s="102"/>
      <c r="E380" s="102"/>
      <c r="F380" s="103"/>
    </row>
    <row r="381" spans="1:6" x14ac:dyDescent="0.2">
      <c r="A381" s="92" t="str">
        <f>A283</f>
        <v>2.8</v>
      </c>
      <c r="B381" s="60" t="str">
        <f>B283</f>
        <v>Traitement de l'air de la cuisine</v>
      </c>
      <c r="C381" s="101">
        <f>F329</f>
        <v>0</v>
      </c>
      <c r="D381" s="102"/>
      <c r="E381" s="102"/>
      <c r="F381" s="103"/>
    </row>
    <row r="382" spans="1:6" x14ac:dyDescent="0.2">
      <c r="A382" s="92" t="str">
        <f>A331</f>
        <v>2.9</v>
      </c>
      <c r="B382" s="60" t="str">
        <f>B331</f>
        <v>Electricité</v>
      </c>
      <c r="C382" s="101"/>
      <c r="D382" s="102"/>
      <c r="E382" s="102"/>
      <c r="F382" s="103"/>
    </row>
    <row r="383" spans="1:6" x14ac:dyDescent="0.2">
      <c r="A383" s="92">
        <f>A343</f>
        <v>3</v>
      </c>
      <c r="B383" s="60" t="str">
        <f>B343</f>
        <v>Désenfumage parking</v>
      </c>
      <c r="C383" s="101">
        <f>F360</f>
        <v>0</v>
      </c>
      <c r="D383" s="102"/>
      <c r="E383" s="102"/>
      <c r="F383" s="103"/>
    </row>
    <row r="384" spans="1:6" ht="14.4" thickBot="1" x14ac:dyDescent="0.25">
      <c r="A384" s="69"/>
      <c r="B384" s="60" t="str">
        <f>B362</f>
        <v>Divers</v>
      </c>
      <c r="C384" s="101">
        <f>F368</f>
        <v>0</v>
      </c>
      <c r="D384" s="102"/>
      <c r="E384" s="102"/>
      <c r="F384" s="103"/>
    </row>
    <row r="385" spans="1:7" x14ac:dyDescent="0.2">
      <c r="A385" s="56"/>
      <c r="B385" s="58"/>
      <c r="C385" s="113"/>
      <c r="D385" s="114"/>
      <c r="E385" s="114"/>
      <c r="F385" s="115"/>
    </row>
    <row r="386" spans="1:7" x14ac:dyDescent="0.2">
      <c r="A386" s="56"/>
      <c r="B386" s="58" t="str">
        <f>B371</f>
        <v>TOTAL H.T. En Euros OUVRAGES DE CVC</v>
      </c>
      <c r="C386" s="110">
        <f>SUM(C375:F384)</f>
        <v>0</v>
      </c>
      <c r="D386" s="111"/>
      <c r="E386" s="111"/>
      <c r="F386" s="112"/>
      <c r="G386" s="73"/>
    </row>
    <row r="387" spans="1:7" ht="14.4" thickBot="1" x14ac:dyDescent="0.25">
      <c r="A387" s="57"/>
      <c r="B387" s="59"/>
      <c r="C387" s="107"/>
      <c r="D387" s="108"/>
      <c r="E387" s="108"/>
      <c r="F387" s="109"/>
    </row>
    <row r="388" spans="1:7" x14ac:dyDescent="0.2">
      <c r="B388" s="3"/>
      <c r="D388" s="3"/>
      <c r="E388" s="3"/>
      <c r="F388" s="3"/>
    </row>
    <row r="389" spans="1:7" x14ac:dyDescent="0.2">
      <c r="B389" s="3"/>
      <c r="D389" s="3"/>
      <c r="E389" s="3"/>
      <c r="F389" s="3"/>
    </row>
    <row r="390" spans="1:7" x14ac:dyDescent="0.2">
      <c r="B390" s="3"/>
      <c r="D390" s="3"/>
      <c r="E390" s="3"/>
      <c r="F390" s="3"/>
    </row>
    <row r="391" spans="1:7" x14ac:dyDescent="0.2">
      <c r="B391" s="3"/>
      <c r="D391" s="3"/>
      <c r="E391" s="3"/>
      <c r="F391" s="3"/>
    </row>
    <row r="392" spans="1:7" x14ac:dyDescent="0.2">
      <c r="B392" s="3"/>
      <c r="D392" s="3"/>
      <c r="E392" s="3"/>
      <c r="F392" s="3"/>
    </row>
    <row r="393" spans="1:7" x14ac:dyDescent="0.2">
      <c r="B393" s="3"/>
      <c r="D393" s="3"/>
      <c r="E393" s="3"/>
      <c r="F393" s="3"/>
    </row>
    <row r="394" spans="1:7" x14ac:dyDescent="0.2">
      <c r="B394" s="3"/>
      <c r="D394" s="3"/>
      <c r="E394" s="3"/>
      <c r="F394" s="3"/>
    </row>
    <row r="395" spans="1:7" x14ac:dyDescent="0.2">
      <c r="B395" s="3"/>
      <c r="D395" s="3"/>
      <c r="E395" s="3"/>
      <c r="F395" s="3"/>
    </row>
    <row r="396" spans="1:7" x14ac:dyDescent="0.2">
      <c r="B396" s="3"/>
      <c r="D396" s="3"/>
      <c r="E396" s="3"/>
      <c r="F396" s="3"/>
    </row>
    <row r="397" spans="1:7" x14ac:dyDescent="0.2">
      <c r="B397" s="3"/>
      <c r="D397" s="3"/>
      <c r="E397" s="3"/>
      <c r="F397" s="3"/>
    </row>
    <row r="398" spans="1:7" x14ac:dyDescent="0.2">
      <c r="B398" s="3"/>
      <c r="D398" s="3"/>
      <c r="E398" s="3"/>
      <c r="F398" s="3"/>
    </row>
    <row r="399" spans="1:7" x14ac:dyDescent="0.2">
      <c r="B399" s="3"/>
      <c r="D399" s="3"/>
      <c r="E399" s="3"/>
      <c r="F399" s="3"/>
    </row>
    <row r="400" spans="1:7" x14ac:dyDescent="0.2">
      <c r="B400" s="3"/>
      <c r="D400" s="3"/>
      <c r="E400" s="3"/>
      <c r="F400" s="3"/>
    </row>
    <row r="401" spans="2:6" x14ac:dyDescent="0.2">
      <c r="B401" s="3"/>
      <c r="D401" s="3"/>
      <c r="E401" s="3"/>
      <c r="F401" s="3"/>
    </row>
    <row r="402" spans="2:6" x14ac:dyDescent="0.2">
      <c r="B402" s="3"/>
      <c r="D402" s="3"/>
      <c r="E402" s="3"/>
      <c r="F402" s="3"/>
    </row>
    <row r="403" spans="2:6" x14ac:dyDescent="0.2">
      <c r="B403" s="3"/>
      <c r="D403" s="3"/>
      <c r="E403" s="3"/>
      <c r="F403" s="3"/>
    </row>
    <row r="404" spans="2:6" x14ac:dyDescent="0.2">
      <c r="B404" s="3"/>
      <c r="D404" s="3"/>
      <c r="E404" s="3"/>
      <c r="F404" s="3"/>
    </row>
    <row r="405" spans="2:6" x14ac:dyDescent="0.2">
      <c r="B405" s="3"/>
      <c r="D405" s="3"/>
      <c r="E405" s="3"/>
      <c r="F405" s="3"/>
    </row>
    <row r="406" spans="2:6" x14ac:dyDescent="0.2">
      <c r="B406" s="3"/>
      <c r="D406" s="3"/>
      <c r="E406" s="3"/>
      <c r="F406" s="3"/>
    </row>
    <row r="407" spans="2:6" x14ac:dyDescent="0.2">
      <c r="B407" s="3"/>
      <c r="D407" s="3"/>
      <c r="E407" s="3"/>
      <c r="F407" s="3"/>
    </row>
  </sheetData>
  <sheetProtection formatCells="0"/>
  <mergeCells count="31">
    <mergeCell ref="F1:F2"/>
    <mergeCell ref="B4:F4"/>
    <mergeCell ref="B151:D151"/>
    <mergeCell ref="B169:D169"/>
    <mergeCell ref="B282:D282"/>
    <mergeCell ref="E1:E2"/>
    <mergeCell ref="A1:A2"/>
    <mergeCell ref="B1:B2"/>
    <mergeCell ref="C1:C2"/>
    <mergeCell ref="D1:D2"/>
    <mergeCell ref="B329:D329"/>
    <mergeCell ref="C387:F387"/>
    <mergeCell ref="C386:F386"/>
    <mergeCell ref="C382:F382"/>
    <mergeCell ref="C385:F385"/>
    <mergeCell ref="C383:F383"/>
    <mergeCell ref="B368:D368"/>
    <mergeCell ref="C384:F384"/>
    <mergeCell ref="B187:D187"/>
    <mergeCell ref="B192:D192"/>
    <mergeCell ref="B9:D9"/>
    <mergeCell ref="B341:D341"/>
    <mergeCell ref="C376:F376"/>
    <mergeCell ref="C377:F377"/>
    <mergeCell ref="C380:F380"/>
    <mergeCell ref="C381:F381"/>
    <mergeCell ref="B374:F374"/>
    <mergeCell ref="C375:F375"/>
    <mergeCell ref="C378:F378"/>
    <mergeCell ref="C379:F379"/>
    <mergeCell ref="B360:D360"/>
  </mergeCells>
  <phoneticPr fontId="0" type="noConversion"/>
  <printOptions horizontalCentered="1"/>
  <pageMargins left="0.70866141732283472" right="0.70866141732283472" top="0.74803149606299213" bottom="0.35433070866141736" header="0.31496062992125984" footer="0.31496062992125984"/>
  <pageSetup paperSize="9" scale="33" orientation="portrait" r:id="rId1"/>
  <headerFooter scaleWithDoc="0" alignWithMargins="0">
    <oddHeader>&amp;RPhase PRO - Ind 00</oddHeader>
    <oddFooter>&amp;LMODUO&amp;CDPGF
&amp;P/&amp;N</oddFooter>
  </headerFooter>
  <rowBreaks count="3" manualBreakCount="3">
    <brk id="110" max="6" man="1"/>
    <brk id="151" max="6" man="1"/>
    <brk id="28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Chauffage</vt:lpstr>
      <vt:lpstr>Chauffage!Impression_des_titres</vt:lpstr>
      <vt:lpstr>Chauffage!Zone_d_impression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moduo</dc:creator>
  <cp:lastModifiedBy>Maxence Ramage</cp:lastModifiedBy>
  <cp:lastPrinted>2025-03-12T17:29:36Z</cp:lastPrinted>
  <dcterms:created xsi:type="dcterms:W3CDTF">2010-11-25T10:39:33Z</dcterms:created>
  <dcterms:modified xsi:type="dcterms:W3CDTF">2025-03-12T17:29:40Z</dcterms:modified>
</cp:coreProperties>
</file>